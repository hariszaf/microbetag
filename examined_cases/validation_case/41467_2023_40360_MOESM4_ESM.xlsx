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tomas.hessler/OneDrive - University of Cape Town/Attachments/0_Postdoc_Banfield/1_Outputs/Thiamine 2022 Paper/0_Final submission/"/>
    </mc:Choice>
  </mc:AlternateContent>
  <xr:revisionPtr revIDLastSave="0" documentId="8_{4F3C3F84-C5B7-2C42-8B64-04FB41D9A022}" xr6:coauthVersionLast="47" xr6:coauthVersionMax="47" xr10:uidLastSave="{00000000-0000-0000-0000-000000000000}"/>
  <bookViews>
    <workbookView xWindow="0" yWindow="500" windowWidth="35840" windowHeight="20360" activeTab="4" xr2:uid="{E119F4DE-5665-7041-B613-DB22025F418F}"/>
  </bookViews>
  <sheets>
    <sheet name="Supplementary data 1" sheetId="1" r:id="rId1"/>
    <sheet name="Supplementary data 2" sheetId="7" r:id="rId2"/>
    <sheet name="Supplementary data 3" sheetId="8" r:id="rId3"/>
    <sheet name="Supplementary data 4" sheetId="14" r:id="rId4"/>
    <sheet name="Supplementary data 5"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<sst xmlns="http://schemas.openxmlformats.org/spreadsheetml/2006/main" count="676" uniqueCount="322">
  <si>
    <t>Module</t>
  </si>
  <si>
    <t># nodes</t>
  </si>
  <si>
    <t># Generalists</t>
  </si>
  <si>
    <t># Specialists</t>
  </si>
  <si>
    <t># B1 +</t>
  </si>
  <si>
    <t>B1 + fraction</t>
  </si>
  <si>
    <t>5 (Variovorax)</t>
  </si>
  <si>
    <t>Neither</t>
  </si>
  <si>
    <t>Saccharibacteria (TM7)</t>
  </si>
  <si>
    <t>SCN18_26_2_15_R3_B_Saccharibacteria_TM7_47_55</t>
  </si>
  <si>
    <t>SCNpilot_BF_INOC_TM7_49_20</t>
  </si>
  <si>
    <t>Generalists</t>
  </si>
  <si>
    <t>Alphaproteobacteria</t>
  </si>
  <si>
    <t>2019_SCN_bioreactor_t2_plantonic_Sphingomonadales_63_2074</t>
  </si>
  <si>
    <t>Betaproteobacteria</t>
  </si>
  <si>
    <t>SCN_Comamonas_36x</t>
  </si>
  <si>
    <t>SCN18_10_11_15_R3_B_Afipia_64_1782_curated</t>
  </si>
  <si>
    <t>SCN18_14_9_16_R4_B_Thiobacillus_63_590</t>
  </si>
  <si>
    <t>Gammaproteobacteria</t>
  </si>
  <si>
    <t>SCN18_25_8_15_R5_B_Rhodanobaceraceae_66_24</t>
  </si>
  <si>
    <t>SCN18_26_2_15_R1_F_SCNPILOT_EXPT_300_BF_Thiobacillus_62_448_63_78</t>
  </si>
  <si>
    <t>SCN18_26_2_15_R1_P_SCNPILOT_CONT_1000_BF_Mesorhizobium_65_39_65_22</t>
  </si>
  <si>
    <t>SCN18_26_2_15_R2_B_SCN_Variovorax_21x_67_25</t>
  </si>
  <si>
    <t>SCN18_26_2_15_R4_B_Rhodanobacter_69_138</t>
  </si>
  <si>
    <t>SCN18_30_10_14_R2_B_Bradyrhizobiaceae_62_135</t>
  </si>
  <si>
    <t>SCN18_31_3_15_R3_B_SCNPILOT_EXPT_300_BF_Sphingomonas_67_13_68_146</t>
  </si>
  <si>
    <t>Bacteroidetes</t>
  </si>
  <si>
    <t>2019_SCN_bioreactor_t3_biofilm_Bacteroidetes_40_21</t>
  </si>
  <si>
    <t>2019_SCN_bioreactor_t4_planktonic_Bacteroidetes_43_45</t>
  </si>
  <si>
    <t>SCN18_10_11_15_R3_B_Rhizobiales_63_59</t>
  </si>
  <si>
    <t>SCN18_10_11_15_R5_P_Alphaproteobacteria_68_131</t>
  </si>
  <si>
    <t>SCN18_13_7_16_R3_B_SCN_Thiomonas_15x_64_19</t>
  </si>
  <si>
    <t>Specialists</t>
  </si>
  <si>
    <t>SCN18_14_9_16_R5_B_Mesorhizobium_63_3</t>
  </si>
  <si>
    <t>SCN18_25_1_16_R3_B_Rudaea_64_147</t>
  </si>
  <si>
    <t>SCN18_25_1_16_R4_B_SCNPILOT_SOLID2_TRIM150_Afipia_61_20_61_46</t>
  </si>
  <si>
    <t>Actinobacteria</t>
  </si>
  <si>
    <t>SCN18_25_8_15_R2_B_SCNPILOT_EXPT_750_BF_Actinomycetales_70_150_72_69</t>
  </si>
  <si>
    <t>SCN18_25_8_15_R2_B_SCNPILOT_EXPT_750_BF_Sphingobacteriia_47_330_48_20</t>
  </si>
  <si>
    <t>WPS-2</t>
  </si>
  <si>
    <t>SCN18_25_8_15_R3_B_WPS-2_62_28</t>
  </si>
  <si>
    <t>SCN18_25_8_15_R4_B_Xanthomonadales_70_612</t>
  </si>
  <si>
    <t>Chloroflexi</t>
  </si>
  <si>
    <t>SCN18_26_2_15_R1_F_SCNPILOT_CONT_1000_BF_Chloroflexi_54_27_54_23</t>
  </si>
  <si>
    <t>SCN18_26_2_15_R2_B_Rhizobiales_60_31</t>
  </si>
  <si>
    <t>SCN18_26_2_15_R2_B_SCNPILOT_CONT_1000_BF_Rhizobiales_65_18_67_34</t>
  </si>
  <si>
    <t>SCN18_26_2_15_R2_B_SCNPILOT_CONT_750_BF_Rhodospirillales_68_10_70_15</t>
  </si>
  <si>
    <t>SCN18_26_2_15_R2_P_SCNPILOT_CONT_500_P_Xanthomonadales_69_150_Rhodanobacter_68_51</t>
  </si>
  <si>
    <t>SCN18_26_2_15_R5_B_Alphaproteobacteria_66_27</t>
  </si>
  <si>
    <t>SCN18_30_10_14_R1_P_Bosea_67_18</t>
  </si>
  <si>
    <t>SCN18_30_10_14_R2_B_Rhizobiales_63_8</t>
  </si>
  <si>
    <t>SCN18_30_10_14_R3_B_Delftia_65_125</t>
  </si>
  <si>
    <t>SCN18_30_10_14_R3_B_Leifsonia_70_93</t>
  </si>
  <si>
    <t>SCN18_30_10_14_R3_B_SCNPILOT_CONT_500_BF_Rhizobiales_64_17-related_63_20</t>
  </si>
  <si>
    <t>Armatimonadetes</t>
  </si>
  <si>
    <t>SCN18_30_10_14_R3_B_SCNPILOT_EXPT_500_BF_STEP10_Armatimonadetes_55_34_56_13</t>
  </si>
  <si>
    <t>SCN18_30_10_14_R3_B_SCNpilot_P_inoc_Thiobacillus_strain2_63_34_65_22</t>
  </si>
  <si>
    <t>SCN18_30_10_14_R4_P_SCNPILOT_CONT_300_BF_Rhizobiales_67_6-related_67_37</t>
  </si>
  <si>
    <t>SCN18_31_3_15_R1_B_Nitrobacter_62_136</t>
  </si>
  <si>
    <t>SCN18_31_3_15_R5_B_SCNPILOT_CONT_750_BF_Chitinophagaceae_50_32</t>
  </si>
  <si>
    <t>SCNpilot_BF_INOC_Bordetella_67_10</t>
  </si>
  <si>
    <t>SCNPILOT_CONT_1000_P_Pseudonocardia_72_23</t>
  </si>
  <si>
    <t>SCNPILOT_CONT_300_BF_Actinomycetales_73_43</t>
  </si>
  <si>
    <t>SCNPILOT_CONT_300_BF_Nitrobacter_62_12_partial</t>
  </si>
  <si>
    <t>SCNPILOT_CONT_300_BF_Rhizobiales_66_14</t>
  </si>
  <si>
    <t>SCNPILOT_CONT_500_BF_Rhizobiales_63_22</t>
  </si>
  <si>
    <t>SCNPILOT_EXPT_1000_BF_Burkholderiales_68_66</t>
  </si>
  <si>
    <t>SCNPILOT_EXPT_300_BF_Nitrosospira_56_20</t>
  </si>
  <si>
    <t>SCNPILOT_EXPT_750_BF_Xanthomonadales_66_150</t>
  </si>
  <si>
    <t>SCNpilot_P_inoc_Kapabacteria_57_18</t>
  </si>
  <si>
    <t>SCNpilot_P_inoc_Stenotrophomonas_69_27</t>
  </si>
  <si>
    <t>solids_Rhizobiales_1</t>
  </si>
  <si>
    <t>2019_SCN_bioreactor_t2_biofilm_Herbaspirillum_63_171</t>
  </si>
  <si>
    <t>2019_SCN_bioreactor_t2_biofilm_Sphingobacteriales_50_15</t>
  </si>
  <si>
    <t>2019_SCN_bioreactor_t3_planktonic_Klebsiella_oxytoca_56_23</t>
  </si>
  <si>
    <t>Verrucomicrobia</t>
  </si>
  <si>
    <t>2019_SCN_bioreactor_200211_planktonic_Verrucomicrobia_60_20</t>
  </si>
  <si>
    <t>2019_SCN_bioreactor_t3_planktonic_Azospirillum_lipoferum_68_106</t>
  </si>
  <si>
    <t>SCN18_25_1_16_R1_B_Chitinophagaceae_40_177</t>
  </si>
  <si>
    <t>SCNPILOT_SOLID_1_Castellaniella_67_33</t>
  </si>
  <si>
    <t>solids_Rhodanobacter_5</t>
  </si>
  <si>
    <t>SCN18_10_11_15_R1_P_Microbacterium_71_863</t>
  </si>
  <si>
    <t>SCN18_26_2_15_R4_P_Microbacterium_70_222</t>
  </si>
  <si>
    <t>SCNpilot_P_inoc_Microbacterium_69_20</t>
  </si>
  <si>
    <t>Microbacterium_testaceum_SCNpilot_P_inoc_Microbacterium_70_36-related_71_14</t>
  </si>
  <si>
    <t>SCN18_30_10_14_R4_P_Microbacterium_70_55</t>
  </si>
  <si>
    <t>2019_SCN_bioreactor_200211_biofilm_Rhizobiales_70_15</t>
  </si>
  <si>
    <t>2019_SCN_bioreactor_t1_biofilm_Legionellales_40_39</t>
  </si>
  <si>
    <t>2019_SCN_bioreactor_t1_biofilm_Pseudonocardia_dioxanivorans_73_113</t>
  </si>
  <si>
    <t>2019_SCN_bioreactor_t3_biofilm_Novosphingobium_sp_MD-1_67_8</t>
  </si>
  <si>
    <t>Cyanobacteria</t>
  </si>
  <si>
    <t>CN18_26_2_15_R4_P_Melainabacteria_51_74</t>
  </si>
  <si>
    <t>SCN_bioreactor_inoc_reactorb_Actinobacteria_65_60</t>
  </si>
  <si>
    <t>SCN18_14_9_16_R1_B_Chryseobacterium_40_24</t>
  </si>
  <si>
    <t>SCN18_25_1_16_R1_B_SCNPILOT_CONT_300_BF_Rhizobiales_62_47_62_13</t>
  </si>
  <si>
    <t>SCN18_25_8_15_R2_B_Xanthomonadales_66_12</t>
  </si>
  <si>
    <t>SCN18_26_2_15_R1_B_SCNPILOT_SOLID2_TRIM150_Alphaproteobacteria_62_41_62_24</t>
  </si>
  <si>
    <t>SCN18_26_2_15_R1_F_Chitinophagaceae_50_26</t>
  </si>
  <si>
    <t>SCN18_30_10_14_R1_B_SCNPILOT_EXPT_1000_BF_Afipia_62_8_60_16</t>
  </si>
  <si>
    <t>SCN18_30_10_14_R1_P_SCNPILOT_EXPT_1000_BF_Sphingomonas_65_55_65_26</t>
  </si>
  <si>
    <t>SCN18_30_10_14_R3_B_Rhizobiales_64_9</t>
  </si>
  <si>
    <t>SCNPILOT_CONT_300_BF_Sphingomonadales_67_36</t>
  </si>
  <si>
    <t>SCNpilot_P_inoc_Flavobacteriales_40_82</t>
  </si>
  <si>
    <t>2019_SCN_bioreactor_t1_biofilm_Bacteroidetes_44_32</t>
  </si>
  <si>
    <t>2019_SCN_bioreactor_t1_planktonic_Alphaproteobacteria_67_63</t>
  </si>
  <si>
    <t>2019_SCN_bioreactor_t2_biofilm_Alphaproteobacteria_70_37</t>
  </si>
  <si>
    <t>Acidobacteria</t>
  </si>
  <si>
    <t>2019_SCN_bioreactor_t3_biofilm_Acidobacteriales_60_11</t>
  </si>
  <si>
    <t>CN18_26_2_15_R1_F_uSCNPILOT_CONT_500_BF_Rhizobiales_64_17_64_27</t>
  </si>
  <si>
    <t>SCN_Rhodanobacter_65x</t>
  </si>
  <si>
    <t>SCN18_10_11_15_R5_B_SCNPILOT_CONT_1000_BF_Mesorhizobium_65_39_64_12</t>
  </si>
  <si>
    <t>SCN18_10_11_15_R5_P_Candidatus_Caedibacter_acanthamoebae_SCNPILOT_EXPT_500_P_38_48_38_48</t>
  </si>
  <si>
    <t>SCN18_13_7_16_R1_B_Mesorhizobium_65_18</t>
  </si>
  <si>
    <t>Eukaryote</t>
  </si>
  <si>
    <t>SCN18_13_7_16_R1_B_Nakamurella_69_21</t>
  </si>
  <si>
    <t>SCN18_13_7_16_R3_B_SCNPILOT_CONT_300_BF_Rhizobiales_62_47_63_31</t>
  </si>
  <si>
    <t>SCN18_13_7_16_R4_B_Burkholderiales_68_29</t>
  </si>
  <si>
    <t>SCN18_14_9_16_R2_B_Alphaproteobacteria_64_15</t>
  </si>
  <si>
    <t>SCN18_26_2_15_R1_B_SCNPILOT_CONT_1000_BF_Rhizobiales_65_79_64_17</t>
  </si>
  <si>
    <t>SCN18_26_2_15_R1_F_Bosea_sp_LC85_SCNPILOT_EXPT_1000_BF_Rhizobiales_65_15_67_33</t>
  </si>
  <si>
    <t>SCN18_26_2_15_R2_B_Rhizobiales_61_8</t>
  </si>
  <si>
    <t>SCN18_26_2_15_R5_F_Sphingomonas_65_27</t>
  </si>
  <si>
    <t>SCN18_30_10_14_R2_B_SCNPILOT_CONT_1000_P_Alphaproteobacteria_64_11_65_16</t>
  </si>
  <si>
    <t>SCN18_30_10_14_R3_P_CN-SCN_Devosia_27x_66_71</t>
  </si>
  <si>
    <t>SCN18_30_10_14_R4_P_Rhizobiales_66_13</t>
  </si>
  <si>
    <t>SCN18_31_3_15_R1_B_SCNPILOT_CONT_1000_BF_Rhizobiales_65_79_68_31</t>
  </si>
  <si>
    <t>SCNPILOT_CONT_750_P_Burkholderiales_64_62</t>
  </si>
  <si>
    <t>SCNpilot_P_inoc_Niastella_45_30</t>
  </si>
  <si>
    <t>solids_Rhodanobacter_2</t>
  </si>
  <si>
    <t>SCNPILOT_EXPT_1000_BF_Devosia_62_26</t>
  </si>
  <si>
    <t>SCNPILOT_SOLID_1_Burkholderiales_65_210</t>
  </si>
  <si>
    <t>SCNPILOT_SOLID2_TRIM150_Actinobacteria_69_241</t>
  </si>
  <si>
    <t>solids_Rhodanobacter_3</t>
  </si>
  <si>
    <t>2019_SCN_bioreactor_t1_biofilm_Micrococcales_73_29</t>
  </si>
  <si>
    <t>2019_SCN_bioreactor_t2_biofilm_Acidovorax_65_56</t>
  </si>
  <si>
    <t>2019_SCN_bioreactor_t2_plantonic_Alphaproteobacteria_70_36</t>
  </si>
  <si>
    <t>SCN_bioreactor_t0_Alphaproteobacteria_66_43</t>
  </si>
  <si>
    <t>SCNPILOT_SOLID_1_Sphingobacteriales_41_19</t>
  </si>
  <si>
    <t>solids_Nitrosospira_1</t>
  </si>
  <si>
    <t>solids_Sphingobacteriales_4</t>
  </si>
  <si>
    <t>SCN18_30_10_14_R3_P_CN-SCN_Microbacterium_27x_70_19</t>
  </si>
  <si>
    <t>solids_Microbacterium_1</t>
  </si>
  <si>
    <t>SCNpilot_P_inoc_TM7_multi_47_2.8</t>
  </si>
  <si>
    <t>Thiamine</t>
  </si>
  <si>
    <t>Pantothenate</t>
  </si>
  <si>
    <t>Tetrahydrofolate</t>
  </si>
  <si>
    <t>Riboflavin</t>
  </si>
  <si>
    <t>Biotin</t>
  </si>
  <si>
    <t>Radiality</t>
  </si>
  <si>
    <t>Eccentricity</t>
  </si>
  <si>
    <t>BetweennessCentrality</t>
  </si>
  <si>
    <t>Degree</t>
  </si>
  <si>
    <t>Generalist_or_Specialist</t>
  </si>
  <si>
    <t>Taxonomy</t>
  </si>
  <si>
    <t>Genome</t>
  </si>
  <si>
    <t>Node number</t>
  </si>
  <si>
    <t>Calculated vitamin hub metrics</t>
  </si>
  <si>
    <t>Network node statistics</t>
  </si>
  <si>
    <t>Node and organism information</t>
  </si>
  <si>
    <t>x</t>
  </si>
  <si>
    <t>Tube</t>
  </si>
  <si>
    <t>✓</t>
  </si>
  <si>
    <t>Cobalamin</t>
  </si>
  <si>
    <t>Nicotinic acid</t>
  </si>
  <si>
    <t>Pyrodoxine</t>
  </si>
  <si>
    <t>Observed growth?</t>
  </si>
  <si>
    <t>Vitmain biosynthetic capacity (presence/absence)</t>
  </si>
  <si>
    <t>Beta-Alanine for Pantothenate biosynthesis (step 1.1)</t>
  </si>
  <si>
    <t>K01593</t>
  </si>
  <si>
    <t>K00128</t>
  </si>
  <si>
    <t>K07250</t>
  </si>
  <si>
    <t>K01579</t>
  </si>
  <si>
    <t>at least one</t>
  </si>
  <si>
    <t>3M-2O &gt; 2D for Panotthenate (step 1.2)</t>
  </si>
  <si>
    <t>K00826</t>
  </si>
  <si>
    <t>K00606</t>
  </si>
  <si>
    <t>K00077</t>
  </si>
  <si>
    <t>at least 2</t>
  </si>
  <si>
    <t>Pantoanate &gt; Pantothenate (step 2 of 2)</t>
  </si>
  <si>
    <t>K01918</t>
  </si>
  <si>
    <t>K14153</t>
  </si>
  <si>
    <t>K00877</t>
  </si>
  <si>
    <t>K00941</t>
  </si>
  <si>
    <t>K00878</t>
  </si>
  <si>
    <t>K00946</t>
  </si>
  <si>
    <t>K03147</t>
  </si>
  <si>
    <t>K18278</t>
  </si>
  <si>
    <t>Pyrimidine</t>
  </si>
  <si>
    <t>Thiazole</t>
  </si>
  <si>
    <t>K03150</t>
  </si>
  <si>
    <t>K03153</t>
  </si>
  <si>
    <t>at least 1</t>
  </si>
  <si>
    <t>K03148</t>
  </si>
  <si>
    <t>K03151</t>
  </si>
  <si>
    <t>K01662</t>
  </si>
  <si>
    <t>K03149</t>
  </si>
  <si>
    <t>K03154</t>
  </si>
  <si>
    <t>K04487</t>
  </si>
  <si>
    <t>Linking</t>
  </si>
  <si>
    <t>K00788</t>
  </si>
  <si>
    <t>yes</t>
  </si>
  <si>
    <t>absent</t>
  </si>
  <si>
    <t>K08310</t>
  </si>
  <si>
    <t>K19965</t>
  </si>
  <si>
    <t>K01113</t>
  </si>
  <si>
    <t>K01077</t>
  </si>
  <si>
    <t>K01633</t>
  </si>
  <si>
    <t>K13940</t>
  </si>
  <si>
    <t>K00950</t>
  </si>
  <si>
    <t>K00796</t>
  </si>
  <si>
    <t>K01495</t>
  </si>
  <si>
    <t>K09007</t>
  </si>
  <si>
    <t>K22391</t>
  </si>
  <si>
    <t>K00287</t>
  </si>
  <si>
    <t>K11754</t>
  </si>
  <si>
    <t>K02858</t>
  </si>
  <si>
    <t>K14652</t>
  </si>
  <si>
    <t>K22912</t>
  </si>
  <si>
    <t>K20861</t>
  </si>
  <si>
    <t>K20862</t>
  </si>
  <si>
    <t>K21063</t>
  </si>
  <si>
    <t>K21064</t>
  </si>
  <si>
    <t>K01497</t>
  </si>
  <si>
    <t>K11752</t>
  </si>
  <si>
    <t>K00082</t>
  </si>
  <si>
    <t>K00794</t>
  </si>
  <si>
    <t>K00793</t>
  </si>
  <si>
    <t>pathway B (at least 3)</t>
  </si>
  <si>
    <t>Pantothenate [3/3]</t>
  </si>
  <si>
    <t>thiG</t>
  </si>
  <si>
    <t>Thiamine complete [5/5]</t>
  </si>
  <si>
    <t>Thiamine near complete [4/5]</t>
  </si>
  <si>
    <t>Riboflavin (at least 5)</t>
  </si>
  <si>
    <t>Kinases (thiD)</t>
  </si>
  <si>
    <t>Kinases (other)</t>
  </si>
  <si>
    <t>condition for row</t>
  </si>
  <si>
    <t>description</t>
  </si>
  <si>
    <t>K01906</t>
  </si>
  <si>
    <t>K00652</t>
  </si>
  <si>
    <t>K00833</t>
  </si>
  <si>
    <t>K01935</t>
  </si>
  <si>
    <t>K01012</t>
  </si>
  <si>
    <t>K02169</t>
  </si>
  <si>
    <t>K16593</t>
  </si>
  <si>
    <t>at least three</t>
  </si>
  <si>
    <t>Biotin [2/2]</t>
  </si>
  <si>
    <t>tetrahydrofolate pathway A (at least 5)</t>
  </si>
  <si>
    <t>at least 7</t>
  </si>
  <si>
    <t>bioCIW</t>
  </si>
  <si>
    <t>bioABDF</t>
  </si>
  <si>
    <t>K0 annotations</t>
  </si>
  <si>
    <t>Process</t>
  </si>
  <si>
    <t>EC</t>
  </si>
  <si>
    <t>KEGG</t>
  </si>
  <si>
    <t>pyruvate dehydrogenase E1 component alpha subunit</t>
  </si>
  <si>
    <t>pyruvate oxidation</t>
  </si>
  <si>
    <t>1.2.4.1</t>
  </si>
  <si>
    <t>2-oxoisovalerate dehydrogenase E1 component alpha subuit</t>
  </si>
  <si>
    <t>branched chain amino acids degradation</t>
  </si>
  <si>
    <t>1.2.4.4</t>
  </si>
  <si>
    <t>BFDC sbufamily TPP-dependent enzyme</t>
  </si>
  <si>
    <t>unknown</t>
  </si>
  <si>
    <t>2.2.1.6</t>
  </si>
  <si>
    <t>decyclizing 3D-(3,5/4)-trihydroxycyclohexane-1,2-dione acylhydrolase</t>
  </si>
  <si>
    <t>3.7.1.22</t>
  </si>
  <si>
    <t>K03336</t>
  </si>
  <si>
    <t>1-deoxy-D-xylulose-5-phosphate synthase</t>
  </si>
  <si>
    <t>2.2.1.7</t>
  </si>
  <si>
    <t>2-succinyl-5-enolpyruvyl-6-hydroxy-3-cyclohexene-1-carboxylic-acid synthase</t>
  </si>
  <si>
    <t>menaquinone and plastiquinone biosynthesis from chorismate</t>
  </si>
  <si>
    <t>2.2.1.9</t>
  </si>
  <si>
    <t>xylulose-5-phosphate / fructose-6-phosphate phosphoketolase</t>
  </si>
  <si>
    <t>4.1.2.9</t>
  </si>
  <si>
    <t>K01621</t>
  </si>
  <si>
    <t>transketolase</t>
  </si>
  <si>
    <t>pentose phosphate pathway</t>
  </si>
  <si>
    <t>2.2.1.1</t>
  </si>
  <si>
    <t>K00615</t>
  </si>
  <si>
    <t>2-oxoglutarate dehydrogenase E1 component</t>
  </si>
  <si>
    <t>1.2.4.2</t>
  </si>
  <si>
    <t>K01616</t>
  </si>
  <si>
    <t>2-oxoglutarate decarboxylase</t>
  </si>
  <si>
    <t>4.1.1.71</t>
  </si>
  <si>
    <t>2-oxoglutarate ferredoxin oxidoreductase beta subunit</t>
  </si>
  <si>
    <t>1.2.7.3</t>
  </si>
  <si>
    <t>sulphoacetaldehyde acetyltransferase</t>
  </si>
  <si>
    <t>taurine degradation</t>
  </si>
  <si>
    <t>2.3.3.15</t>
  </si>
  <si>
    <t>K03852</t>
  </si>
  <si>
    <t>sulfopyruvate decarboxylase alpha subunit</t>
  </si>
  <si>
    <t>4.1.1.79</t>
  </si>
  <si>
    <t>3-phosphonopyruvate decarboxylase</t>
  </si>
  <si>
    <t>phosphonate-containing compound biosynthesis</t>
  </si>
  <si>
    <t>4.1.1.82</t>
  </si>
  <si>
    <t>K09459</t>
  </si>
  <si>
    <t>pyruvate-flavodoxin oxidoreductase</t>
  </si>
  <si>
    <t>1.2.7.1</t>
  </si>
  <si>
    <t>indolepyruvate decarboxylase</t>
  </si>
  <si>
    <t>tryptophan degradation</t>
  </si>
  <si>
    <t>4.1.1.74</t>
  </si>
  <si>
    <t>K04103</t>
  </si>
  <si>
    <t>Enzyme</t>
  </si>
  <si>
    <t xml:space="preserve">myo-inositol catabolism </t>
  </si>
  <si>
    <t>pentose phosphate pathway and calvin benson cycle</t>
  </si>
  <si>
    <t>TCA cycle</t>
  </si>
  <si>
    <t>3-sulfolactate degradation</t>
  </si>
  <si>
    <t>pyruvate fermentation</t>
  </si>
  <si>
    <t>thiamine metabolism</t>
  </si>
  <si>
    <t>K00161, K00162, K00163</t>
  </si>
  <si>
    <t>K00166, K00167, K11381</t>
  </si>
  <si>
    <t>K01652, K01653, K11258</t>
  </si>
  <si>
    <t>K02551, K14759</t>
  </si>
  <si>
    <t>K00164, K01616, K15791</t>
  </si>
  <si>
    <t>K00174, K00175, K00176, K00177</t>
  </si>
  <si>
    <t>K06034, K13039, K24393</t>
  </si>
  <si>
    <t>K00169, K00170, K00171, K00172, K00189, K03737</t>
  </si>
  <si>
    <t>condition for pathway</t>
  </si>
  <si>
    <t>Supplementary data 1. Statistics of the modules determined using the Louvian algorithm of the 0.35 cutoff SparCC network</t>
  </si>
  <si>
    <t>Supplementary data 2. Network (SparCC 0.35 correlation cutoff) information relating to the nodes and corresponding MAGs from bioreactor metagenomes.</t>
  </si>
  <si>
    <t xml:space="preserve">Supplementary data 3. Observed growth of Variovorax following 48 hour incubation in M9 minimal media with glucose in the presence of various B vitamins. </t>
  </si>
  <si>
    <t>Supplementary data 4. Enzymes of central metabolism which require thiamine as a cofactor. Adapted from Shelton et al. (22)</t>
  </si>
  <si>
    <t xml:space="preserve">Supplementary data 5. The minimum requirements for the determined presence of a vitamin biosynthetic pathway in a microbial genome. Organisms must have the required number of biosynthetic steps represented in col "condition for pathway" whereas each of these steps must have the determined muber of K0 annototions described in "condition for row" and "K0 annotations.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</si>
</sst>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font>
      <sz val="12"/>
      <color theme="1"/>
      <name val="Calibri"/>
      <family val="2"/>
      <scheme val="minor"/>
    </font>
    <font>
      <b/>
      <sz val="12"/>
      <color theme="1"/>
      <name val="Calibri"/>
      <family val="2"/>
      <scheme val="minor"/>
    </font>
    <font>
      <sz val="10"/>
      <color theme="1"/>
      <name val="DejaVu Sans"/>
    </font>
    <font>
      <sz val="12"/>
      <color rgb="FF000000"/>
      <name val="Calibri"/>
      <family val="2"/>
      <scheme val="minor"/>
    </font>
    <font>
      <b/>
      <sz val="12"/>
      <color rgb="FF000000"/>
      <name val="Calibri"/>
      <family val="2"/>
      <scheme val="minor"/>
    </font>
    <font>
      <sz val="12"/>
      <color theme="1"/>
      <name val="DejaVu Sans"/>
    </font>
    <font>
      <sz val="8"/>
      <name val="Calibri"/>
      <family val="2"/>
      <scheme val="minor"/>
    </font>
    <font>
      <sz val="14"/>
      <color rgb="FF000000"/>
      <name val="Consolas"/>
      <family val="2"/>
    </font>
    <font>
      <u/>
      <sz val="12"/>
      <color theme="10"/>
      <name val="Calibri"/>
      <family val="2"/>
      <scheme val="minor"/>
    </font>
    <font>
      <sz val="14"/>
      <color theme="1"/>
      <name val="Consolas"/>
      <family val="2"/>
    </font>
    <font>
      <sz val="10"/>
      <color rgb="FF000000"/>
      <name val="Calibri"/>
      <family val="2"/>
    </font>
    <font>
      <sz val="10"/>
      <name val="Calibri"/>
      <family val="2"/>
    </font>
    <font>
      <sz val="10"/>
      <color theme="1"/>
      <name val="Calibri"/>
      <family val="2"/>
    </font>
    <font>
      <b/>
      <sz val="10"/>
      <color rgb="FF000000"/>
      <name val="Calibri"/>
      <family val="2"/>
    </font>
    <font>
      <b/>
      <sz val="10"/>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E5E1"/>
        <bgColor indexed="64"/>
      </patternFill>
    </fill>
    <fill>
      <patternFill patternType="solid">
        <fgColor theme="0" tint="-4.9989318521683403E-2"/>
        <bgColor indexed="64"/>
      </patternFill>
    </fill>
    <fill>
      <patternFill patternType="solid">
        <fgColor theme="2" tint="-9.9978637043366805E-2"/>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84">
    <xf numFmtId="0" fontId="0" fillId="0" borderId="0" xfId="0"/>
    <xf numFmtId="0" fontId="2" fillId="2" borderId="1" xfId="0" applyFont="1" applyFill="1" applyBorder="1" applyAlignment="1">
      <alignment horizontal="left" vertical="center"/>
    </xf>
    <xf numFmtId="0" fontId="2" fillId="2" borderId="1" xfId="0" applyFont="1" applyFill="1" applyBorder="1" applyAlignment="1">
      <alignment horizontal="center" vertical="center"/>
    </xf>
    <xf numFmtId="0" fontId="2" fillId="2" borderId="0" xfId="0" applyFont="1" applyFill="1" applyAlignment="1">
      <alignment horizontal="left"/>
    </xf>
    <xf numFmtId="0" fontId="2" fillId="2" borderId="0" xfId="0" applyFont="1" applyFill="1" applyAlignment="1">
      <alignment horizontal="center"/>
    </xf>
    <xf numFmtId="2" fontId="2" fillId="2" borderId="0" xfId="0" applyNumberFormat="1" applyFont="1" applyFill="1" applyAlignment="1">
      <alignment horizontal="center"/>
    </xf>
    <xf numFmtId="0" fontId="2" fillId="2" borderId="2" xfId="0" applyFont="1" applyFill="1" applyBorder="1" applyAlignment="1">
      <alignment horizontal="left"/>
    </xf>
    <xf numFmtId="0" fontId="2" fillId="2" borderId="2" xfId="0" applyFont="1" applyFill="1" applyBorder="1" applyAlignment="1">
      <alignment horizontal="center"/>
    </xf>
    <xf numFmtId="2" fontId="2" fillId="2" borderId="2" xfId="0" applyNumberFormat="1" applyFont="1" applyFill="1" applyBorder="1" applyAlignment="1">
      <alignment horizontal="center"/>
    </xf>
    <xf numFmtId="0" fontId="0" fillId="0" borderId="0" xfId="0" applyAlignment="1">
      <alignment horizontal="center"/>
    </xf>
    <xf numFmtId="0" fontId="0" fillId="2" borderId="2" xfId="0" applyFill="1" applyBorder="1" applyAlignment="1">
      <alignment horizontal="center"/>
    </xf>
    <xf numFmtId="0" fontId="3" fillId="2" borderId="2" xfId="0" applyFont="1" applyFill="1" applyBorder="1" applyAlignment="1">
      <alignment horizontal="center"/>
    </xf>
    <xf numFmtId="164" fontId="0" fillId="2" borderId="2" xfId="0" applyNumberFormat="1" applyFill="1" applyBorder="1" applyAlignment="1">
      <alignment horizontal="center"/>
    </xf>
    <xf numFmtId="0" fontId="0" fillId="2" borderId="2" xfId="0" applyFill="1" applyBorder="1"/>
    <xf numFmtId="0" fontId="0" fillId="2" borderId="0" xfId="0" applyFill="1" applyAlignment="1">
      <alignment horizontal="center"/>
    </xf>
    <xf numFmtId="0" fontId="3" fillId="2" borderId="0" xfId="0" applyFont="1" applyFill="1" applyAlignment="1">
      <alignment horizontal="center"/>
    </xf>
    <xf numFmtId="164" fontId="0" fillId="2" borderId="0" xfId="0" applyNumberFormat="1" applyFill="1" applyAlignment="1">
      <alignment horizontal="center"/>
    </xf>
    <xf numFmtId="0" fontId="0" fillId="2" borderId="0" xfId="0" applyFill="1"/>
    <xf numFmtId="0" fontId="1" fillId="3" borderId="2" xfId="0" applyFont="1" applyFill="1" applyBorder="1" applyAlignment="1">
      <alignment horizontal="center"/>
    </xf>
    <xf numFmtId="0" fontId="4" fillId="3" borderId="2" xfId="0" applyFont="1" applyFill="1" applyBorder="1" applyAlignment="1">
      <alignment horizontal="center"/>
    </xf>
    <xf numFmtId="0" fontId="1" fillId="4" borderId="2" xfId="0" applyFont="1" applyFill="1" applyBorder="1" applyAlignment="1">
      <alignment horizontal="center"/>
    </xf>
    <xf numFmtId="0" fontId="4" fillId="4" borderId="2" xfId="0" applyFont="1" applyFill="1" applyBorder="1" applyAlignment="1">
      <alignment horizontal="center"/>
    </xf>
    <xf numFmtId="0" fontId="1" fillId="5" borderId="2" xfId="0" applyFont="1" applyFill="1" applyBorder="1" applyAlignment="1">
      <alignment horizontal="center"/>
    </xf>
    <xf numFmtId="0" fontId="1" fillId="6" borderId="2" xfId="0" applyFont="1" applyFill="1" applyBorder="1"/>
    <xf numFmtId="0" fontId="1" fillId="6" borderId="2" xfId="0" applyFont="1" applyFill="1" applyBorder="1" applyAlignment="1">
      <alignment horizontal="center"/>
    </xf>
    <xf numFmtId="2" fontId="0" fillId="2" borderId="0" xfId="0" applyNumberFormat="1" applyFill="1" applyAlignment="1">
      <alignment horizontal="center"/>
    </xf>
    <xf numFmtId="2" fontId="0" fillId="2" borderId="2" xfId="0" applyNumberFormat="1" applyFill="1" applyBorder="1" applyAlignment="1">
      <alignment horizontal="center"/>
    </xf>
    <xf numFmtId="0" fontId="5" fillId="2" borderId="0" xfId="0" applyFont="1" applyFill="1"/>
    <xf numFmtId="0" fontId="5" fillId="2" borderId="6" xfId="0" applyFont="1" applyFill="1" applyBorder="1"/>
    <xf numFmtId="0" fontId="5" fillId="2" borderId="6" xfId="0" applyFont="1" applyFill="1" applyBorder="1" applyAlignment="1">
      <alignment horizontal="center"/>
    </xf>
    <xf numFmtId="0" fontId="5" fillId="2" borderId="4" xfId="0" applyFont="1" applyFill="1" applyBorder="1" applyAlignment="1">
      <alignment horizontal="center" vertical="center"/>
    </xf>
    <xf numFmtId="0" fontId="5" fillId="12" borderId="4"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8" xfId="0" applyFont="1" applyFill="1" applyBorder="1"/>
    <xf numFmtId="0" fontId="5" fillId="2" borderId="3" xfId="0" applyFont="1" applyFill="1" applyBorder="1" applyAlignment="1">
      <alignment horizontal="center" vertical="center"/>
    </xf>
    <xf numFmtId="0" fontId="5" fillId="12" borderId="3"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5" xfId="0" applyFont="1" applyFill="1" applyBorder="1" applyAlignment="1">
      <alignment horizontal="center" vertical="center"/>
    </xf>
    <xf numFmtId="0" fontId="5" fillId="12" borderId="11" xfId="0" applyFont="1" applyFill="1" applyBorder="1" applyAlignment="1">
      <alignment horizontal="center" vertical="center"/>
    </xf>
    <xf numFmtId="0" fontId="5" fillId="12" borderId="5" xfId="0" applyFont="1" applyFill="1" applyBorder="1" applyAlignment="1">
      <alignment horizontal="center" vertical="center"/>
    </xf>
    <xf numFmtId="0" fontId="5" fillId="11" borderId="7"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7" xfId="0" applyFont="1" applyFill="1" applyBorder="1" applyAlignment="1">
      <alignment horizontal="center" vertical="center"/>
    </xf>
    <xf numFmtId="0" fontId="1" fillId="0" borderId="6" xfId="0" applyFont="1" applyBorder="1"/>
    <xf numFmtId="0" fontId="5" fillId="12" borderId="13" xfId="0" applyFont="1" applyFill="1" applyBorder="1" applyAlignment="1">
      <alignment horizontal="center" vertical="center"/>
    </xf>
    <xf numFmtId="0" fontId="0" fillId="6" borderId="0" xfId="0" applyFill="1"/>
    <xf numFmtId="0" fontId="0" fillId="5" borderId="0" xfId="0" applyFill="1"/>
    <xf numFmtId="0" fontId="0" fillId="3" borderId="0" xfId="0" applyFill="1"/>
    <xf numFmtId="0" fontId="0" fillId="0" borderId="0" xfId="0" applyAlignment="1">
      <alignment horizontal="left"/>
    </xf>
    <xf numFmtId="0" fontId="0" fillId="6" borderId="0" xfId="0" applyFill="1" applyAlignment="1">
      <alignment horizontal="center"/>
    </xf>
    <xf numFmtId="0" fontId="0" fillId="3" borderId="0" xfId="0" applyFill="1" applyAlignment="1">
      <alignment horizontal="center"/>
    </xf>
    <xf numFmtId="0" fontId="0" fillId="5" borderId="0" xfId="0" applyFill="1" applyAlignment="1">
      <alignment horizontal="center"/>
    </xf>
    <xf numFmtId="0" fontId="0" fillId="4" borderId="0" xfId="0" applyFill="1" applyAlignment="1">
      <alignment horizontal="center"/>
    </xf>
    <xf numFmtId="0" fontId="7" fillId="0" borderId="0" xfId="0" applyFont="1"/>
    <xf numFmtId="0" fontId="8" fillId="0" borderId="0" xfId="1"/>
    <xf numFmtId="0" fontId="9" fillId="0" borderId="0" xfId="0" applyFont="1"/>
    <xf numFmtId="0" fontId="10" fillId="0" borderId="0" xfId="0" applyFont="1" applyAlignment="1">
      <alignment horizontal="center" vertical="center" wrapText="1"/>
    </xf>
    <xf numFmtId="0" fontId="10" fillId="0" borderId="0" xfId="0" applyFont="1" applyAlignment="1">
      <alignment horizontal="left" vertical="center" wrapText="1"/>
    </xf>
    <xf numFmtId="0" fontId="12" fillId="0" borderId="0" xfId="0" applyFont="1"/>
    <xf numFmtId="0" fontId="11" fillId="0" borderId="0" xfId="0" applyFont="1" applyAlignment="1">
      <alignment horizontal="left" vertical="center" wrapText="1"/>
    </xf>
    <xf numFmtId="0" fontId="11" fillId="0" borderId="0" xfId="0" applyFont="1" applyAlignment="1">
      <alignment horizontal="center" vertical="center" wrapText="1"/>
    </xf>
    <xf numFmtId="0" fontId="13" fillId="0" borderId="1" xfId="0" applyFont="1" applyBorder="1" applyAlignment="1">
      <alignment horizontal="center" vertical="center" wrapText="1"/>
    </xf>
    <xf numFmtId="0" fontId="11" fillId="0" borderId="2" xfId="0" applyFont="1" applyBorder="1" applyAlignment="1">
      <alignment horizontal="left" vertical="center" wrapText="1"/>
    </xf>
    <xf numFmtId="0" fontId="11" fillId="0" borderId="2" xfId="0" applyFont="1" applyBorder="1" applyAlignment="1">
      <alignment horizontal="center" vertical="center" wrapText="1"/>
    </xf>
    <xf numFmtId="0" fontId="12" fillId="0" borderId="2" xfId="0" applyFont="1" applyBorder="1"/>
    <xf numFmtId="0" fontId="14" fillId="0" borderId="0" xfId="0" applyFont="1"/>
    <xf numFmtId="0" fontId="0" fillId="4" borderId="0" xfId="0" applyFill="1"/>
    <xf numFmtId="0" fontId="3" fillId="4" borderId="0" xfId="0" applyFont="1" applyFill="1"/>
    <xf numFmtId="0" fontId="0" fillId="4" borderId="0" xfId="0" applyFill="1" applyAlignment="1">
      <alignment horizontal="center" wrapText="1"/>
    </xf>
    <xf numFmtId="0" fontId="0" fillId="5" borderId="0" xfId="0" applyFill="1" applyAlignment="1">
      <alignment vertical="center"/>
    </xf>
    <xf numFmtId="0" fontId="0" fillId="13" borderId="0" xfId="0" applyFill="1"/>
    <xf numFmtId="0" fontId="0" fillId="13" borderId="0" xfId="0" applyFill="1" applyAlignment="1">
      <alignment horizontal="center"/>
    </xf>
    <xf numFmtId="0" fontId="0" fillId="13" borderId="6" xfId="0" applyFill="1" applyBorder="1"/>
    <xf numFmtId="0" fontId="0" fillId="13" borderId="6" xfId="0" applyFill="1" applyBorder="1" applyAlignment="1">
      <alignment horizontal="center"/>
    </xf>
    <xf numFmtId="0" fontId="0" fillId="0" borderId="0" xfId="0" applyAlignment="1">
      <alignment horizontal="left" wrapText="1"/>
    </xf>
    <xf numFmtId="0" fontId="0" fillId="0" borderId="2" xfId="0" applyBorder="1" applyAlignment="1">
      <alignment horizontal="left" wrapText="1"/>
    </xf>
    <xf numFmtId="0" fontId="1" fillId="8" borderId="1" xfId="0" applyFont="1" applyFill="1" applyBorder="1" applyAlignment="1">
      <alignment horizontal="center"/>
    </xf>
    <xf numFmtId="0" fontId="1" fillId="9" borderId="1" xfId="0" applyFont="1" applyFill="1" applyBorder="1" applyAlignment="1">
      <alignment horizontal="center"/>
    </xf>
    <xf numFmtId="0" fontId="1" fillId="10" borderId="1" xfId="0" applyFont="1" applyFill="1" applyBorder="1" applyAlignment="1">
      <alignment horizontal="center"/>
    </xf>
    <xf numFmtId="0" fontId="1" fillId="7" borderId="1" xfId="0" applyFont="1" applyFill="1" applyBorder="1" applyAlignment="1">
      <alignment horizontal="center"/>
    </xf>
    <xf numFmtId="0" fontId="0" fillId="0" borderId="0" xfId="0" applyAlignment="1">
      <alignment horizontal="left" vertical="center" wrapText="1"/>
    </xf>
    <xf numFmtId="0" fontId="0" fillId="0" borderId="6" xfId="0" applyBorder="1" applyAlignment="1">
      <alignment horizontal="left" vertical="center" wrapText="1"/>
    </xf>
    <xf numFmtId="0" fontId="1" fillId="0" borderId="6" xfId="0" applyFont="1" applyBorder="1" applyAlignment="1">
      <alignment horizontal="center"/>
    </xf>
    <xf numFmtId="0" fontId="0" fillId="0" borderId="6" xfId="0" applyBorder="1" applyAlignment="1">
      <alignment horizontal="left" wrapText="1"/>
    </xf>
  </cellXfs>
  <cellStyles count="2">
    <cellStyle name="Hy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BDC0"/>
      <color rgb="FFFFE5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254E6-F156-6145-8A45-4C30995477C4}">
  <dimension ref="A1:F11"/>
  <sheetViews>
    <sheetView workbookViewId="0">
      <selection activeCell="A3" sqref="A3"/>
    </sheetView>
  </sheetViews>
  <sheetFormatPr baseColWidth="10" defaultRowHeight="16"/>
  <cols>
    <col min="1" max="1" width="13" bestFit="1" customWidth="1"/>
  </cols>
  <sheetData>
    <row r="1" spans="1:6">
      <c r="A1" s="74" t="s">
        <v>317</v>
      </c>
      <c r="B1" s="74"/>
      <c r="C1" s="74"/>
      <c r="D1" s="74"/>
      <c r="E1" s="74"/>
      <c r="F1" s="74"/>
    </row>
    <row r="2" spans="1:6">
      <c r="A2" s="75"/>
      <c r="B2" s="75"/>
      <c r="C2" s="75"/>
      <c r="D2" s="75"/>
      <c r="E2" s="75"/>
      <c r="F2" s="75"/>
    </row>
    <row r="3" spans="1:6">
      <c r="A3" s="1" t="s">
        <v>0</v>
      </c>
      <c r="B3" s="2" t="s">
        <v>1</v>
      </c>
      <c r="C3" s="2" t="s">
        <v>2</v>
      </c>
      <c r="D3" s="2" t="s">
        <v>3</v>
      </c>
      <c r="E3" s="2" t="s">
        <v>4</v>
      </c>
      <c r="F3" s="2" t="s">
        <v>5</v>
      </c>
    </row>
    <row r="4" spans="1:6">
      <c r="A4" s="3">
        <v>0</v>
      </c>
      <c r="B4" s="4">
        <v>28</v>
      </c>
      <c r="C4" s="4">
        <v>3</v>
      </c>
      <c r="D4" s="4">
        <v>0</v>
      </c>
      <c r="E4" s="4">
        <v>7</v>
      </c>
      <c r="F4" s="5">
        <v>0.25</v>
      </c>
    </row>
    <row r="5" spans="1:6">
      <c r="A5" s="3">
        <v>1</v>
      </c>
      <c r="B5" s="4">
        <v>10</v>
      </c>
      <c r="C5" s="4">
        <v>1</v>
      </c>
      <c r="D5" s="4">
        <v>0</v>
      </c>
      <c r="E5" s="4">
        <v>2</v>
      </c>
      <c r="F5" s="5">
        <v>0.2</v>
      </c>
    </row>
    <row r="6" spans="1:6">
      <c r="A6" s="3">
        <v>2</v>
      </c>
      <c r="B6" s="4">
        <v>16</v>
      </c>
      <c r="C6" s="4">
        <v>1</v>
      </c>
      <c r="D6" s="4">
        <v>4</v>
      </c>
      <c r="E6" s="4">
        <v>5</v>
      </c>
      <c r="F6" s="5">
        <v>0.3125</v>
      </c>
    </row>
    <row r="7" spans="1:6">
      <c r="A7" s="3">
        <v>3</v>
      </c>
      <c r="B7" s="4">
        <v>6</v>
      </c>
      <c r="C7" s="4">
        <v>0</v>
      </c>
      <c r="D7" s="4">
        <v>0</v>
      </c>
      <c r="E7" s="4">
        <v>2</v>
      </c>
      <c r="F7" s="5">
        <v>0.33333333333333331</v>
      </c>
    </row>
    <row r="8" spans="1:6">
      <c r="A8" s="3">
        <v>4</v>
      </c>
      <c r="B8" s="4">
        <v>24</v>
      </c>
      <c r="C8" s="4">
        <v>5</v>
      </c>
      <c r="D8" s="4">
        <v>0</v>
      </c>
      <c r="E8" s="4">
        <v>12</v>
      </c>
      <c r="F8" s="5">
        <v>0.5</v>
      </c>
    </row>
    <row r="9" spans="1:6">
      <c r="A9" s="3" t="s">
        <v>6</v>
      </c>
      <c r="B9" s="4">
        <v>15</v>
      </c>
      <c r="C9" s="4">
        <v>2</v>
      </c>
      <c r="D9" s="4">
        <v>0</v>
      </c>
      <c r="E9" s="4">
        <v>5</v>
      </c>
      <c r="F9" s="5">
        <v>0.33333333333333331</v>
      </c>
    </row>
    <row r="10" spans="1:6">
      <c r="A10" s="3">
        <v>7</v>
      </c>
      <c r="B10" s="4">
        <v>6</v>
      </c>
      <c r="C10" s="4">
        <v>0</v>
      </c>
      <c r="D10" s="4">
        <v>1</v>
      </c>
      <c r="E10" s="4">
        <v>3</v>
      </c>
      <c r="F10" s="5">
        <v>0.5</v>
      </c>
    </row>
    <row r="11" spans="1:6">
      <c r="A11" s="6">
        <v>8</v>
      </c>
      <c r="B11" s="7">
        <v>15</v>
      </c>
      <c r="C11" s="7">
        <v>0</v>
      </c>
      <c r="D11" s="7">
        <v>2</v>
      </c>
      <c r="E11" s="7">
        <v>2</v>
      </c>
      <c r="F11" s="8">
        <v>0.13333333333333333</v>
      </c>
    </row>
  </sheetData>
  <mergeCells count="1">
    <mergeCell ref="A1: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29BE7-731C-8C47-BBCD-324CD0428566}">
  <dimension ref="A1:S123"/>
  <sheetViews>
    <sheetView zoomScale="84" workbookViewId="0">
      <selection activeCell="A2" sqref="A2:D2"/>
    </sheetView>
  </sheetViews>
  <sheetFormatPr baseColWidth="10" defaultRowHeight="16"/>
  <cols>
    <col min="1" max="1" width="12.33203125" style="9" bestFit="1" customWidth="1"/>
    <col min="2" max="2" width="89" customWidth="1"/>
    <col min="3" max="3" width="20.33203125" bestFit="1" customWidth="1"/>
    <col min="4" max="4" width="21.5" bestFit="1" customWidth="1"/>
    <col min="7" max="7" width="20.1640625" bestFit="1" customWidth="1"/>
    <col min="10" max="19" width="14.83203125" customWidth="1"/>
  </cols>
  <sheetData>
    <row r="1" spans="1:19">
      <c r="A1" s="48" t="s">
        <v>318</v>
      </c>
      <c r="B1" s="9"/>
    </row>
    <row r="2" spans="1:19">
      <c r="A2" s="78" t="s">
        <v>158</v>
      </c>
      <c r="B2" s="78"/>
      <c r="C2" s="78"/>
      <c r="D2" s="78"/>
      <c r="E2" s="77" t="s">
        <v>157</v>
      </c>
      <c r="F2" s="77"/>
      <c r="G2" s="77"/>
      <c r="H2" s="77"/>
      <c r="I2" s="77"/>
      <c r="J2" s="76" t="s">
        <v>166</v>
      </c>
      <c r="K2" s="76"/>
      <c r="L2" s="76"/>
      <c r="M2" s="76"/>
      <c r="N2" s="76"/>
      <c r="O2" s="79" t="s">
        <v>156</v>
      </c>
      <c r="P2" s="79"/>
      <c r="Q2" s="79"/>
      <c r="R2" s="79"/>
      <c r="S2" s="79"/>
    </row>
    <row r="3" spans="1:19">
      <c r="A3" s="24" t="s">
        <v>155</v>
      </c>
      <c r="B3" s="23" t="s">
        <v>154</v>
      </c>
      <c r="C3" s="23" t="s">
        <v>153</v>
      </c>
      <c r="D3" s="23" t="s">
        <v>152</v>
      </c>
      <c r="E3" s="22" t="s">
        <v>0</v>
      </c>
      <c r="F3" s="22" t="s">
        <v>151</v>
      </c>
      <c r="G3" s="22" t="s">
        <v>150</v>
      </c>
      <c r="H3" s="22" t="s">
        <v>149</v>
      </c>
      <c r="I3" s="22" t="s">
        <v>148</v>
      </c>
      <c r="J3" s="21" t="s">
        <v>147</v>
      </c>
      <c r="K3" s="21" t="s">
        <v>146</v>
      </c>
      <c r="L3" s="21" t="s">
        <v>145</v>
      </c>
      <c r="M3" s="20" t="s">
        <v>144</v>
      </c>
      <c r="N3" s="20" t="s">
        <v>143</v>
      </c>
      <c r="O3" s="19" t="s">
        <v>147</v>
      </c>
      <c r="P3" s="19" t="s">
        <v>146</v>
      </c>
      <c r="Q3" s="19" t="s">
        <v>145</v>
      </c>
      <c r="R3" s="18" t="s">
        <v>144</v>
      </c>
      <c r="S3" s="18" t="s">
        <v>143</v>
      </c>
    </row>
    <row r="4" spans="1:19">
      <c r="A4" s="14">
        <v>272</v>
      </c>
      <c r="B4" s="17" t="s">
        <v>142</v>
      </c>
      <c r="C4" s="17" t="s">
        <v>8</v>
      </c>
      <c r="D4" s="17" t="s">
        <v>7</v>
      </c>
      <c r="E4" s="14">
        <v>0</v>
      </c>
      <c r="F4" s="14">
        <v>7</v>
      </c>
      <c r="G4" s="16">
        <v>1.0965605999999999E-2</v>
      </c>
      <c r="H4" s="14">
        <v>6</v>
      </c>
      <c r="I4" s="16">
        <v>0.88277310899999994</v>
      </c>
      <c r="J4" s="15">
        <v>0</v>
      </c>
      <c r="K4" s="15">
        <v>0</v>
      </c>
      <c r="L4" s="15">
        <v>0</v>
      </c>
      <c r="M4" s="14">
        <v>0</v>
      </c>
      <c r="N4" s="14">
        <v>0</v>
      </c>
      <c r="O4" s="25">
        <v>0</v>
      </c>
      <c r="P4" s="25">
        <v>0</v>
      </c>
      <c r="Q4" s="25">
        <v>0</v>
      </c>
      <c r="R4" s="25">
        <v>0</v>
      </c>
      <c r="S4" s="25">
        <v>0</v>
      </c>
    </row>
    <row r="5" spans="1:19">
      <c r="A5" s="14">
        <v>264</v>
      </c>
      <c r="B5" s="17" t="s">
        <v>141</v>
      </c>
      <c r="C5" s="17" t="s">
        <v>36</v>
      </c>
      <c r="D5" s="17" t="s">
        <v>7</v>
      </c>
      <c r="E5" s="14">
        <v>8</v>
      </c>
      <c r="F5" s="14">
        <v>6</v>
      </c>
      <c r="G5" s="16">
        <v>1.750492E-3</v>
      </c>
      <c r="H5" s="14">
        <v>9</v>
      </c>
      <c r="I5" s="16">
        <v>0.79789916000000005</v>
      </c>
      <c r="J5" s="15">
        <v>0</v>
      </c>
      <c r="K5" s="15">
        <v>1</v>
      </c>
      <c r="L5" s="15">
        <v>1</v>
      </c>
      <c r="M5" s="14">
        <v>0</v>
      </c>
      <c r="N5" s="14">
        <v>0</v>
      </c>
      <c r="O5" s="25">
        <v>0</v>
      </c>
      <c r="P5" s="25">
        <v>2</v>
      </c>
      <c r="Q5" s="25">
        <v>1.71428571</v>
      </c>
      <c r="R5" s="25">
        <v>0</v>
      </c>
      <c r="S5" s="25">
        <v>0</v>
      </c>
    </row>
    <row r="6" spans="1:19">
      <c r="A6" s="14">
        <v>227</v>
      </c>
      <c r="B6" s="17" t="s">
        <v>140</v>
      </c>
      <c r="C6" s="17" t="s">
        <v>36</v>
      </c>
      <c r="D6" s="17" t="s">
        <v>7</v>
      </c>
      <c r="E6" s="14">
        <v>5</v>
      </c>
      <c r="F6" s="14">
        <v>3</v>
      </c>
      <c r="G6" s="16">
        <v>0</v>
      </c>
      <c r="H6" s="14">
        <v>7</v>
      </c>
      <c r="I6" s="16">
        <v>0.84579831900000002</v>
      </c>
      <c r="J6" s="15">
        <v>0</v>
      </c>
      <c r="K6" s="15">
        <v>1</v>
      </c>
      <c r="L6" s="15">
        <v>1</v>
      </c>
      <c r="M6" s="14">
        <v>0</v>
      </c>
      <c r="N6" s="14">
        <v>0</v>
      </c>
      <c r="O6" s="25">
        <v>0</v>
      </c>
      <c r="P6" s="25">
        <v>0.3</v>
      </c>
      <c r="Q6" s="25">
        <v>0.27272727000000002</v>
      </c>
      <c r="R6" s="25">
        <v>0</v>
      </c>
      <c r="S6" s="25">
        <v>0</v>
      </c>
    </row>
    <row r="7" spans="1:19">
      <c r="A7" s="14">
        <v>150</v>
      </c>
      <c r="B7" s="17" t="s">
        <v>139</v>
      </c>
      <c r="C7" s="17" t="s">
        <v>26</v>
      </c>
      <c r="D7" s="17" t="s">
        <v>7</v>
      </c>
      <c r="E7" s="14">
        <v>8</v>
      </c>
      <c r="F7" s="14">
        <v>3</v>
      </c>
      <c r="G7" s="16">
        <v>0</v>
      </c>
      <c r="H7" s="14">
        <v>9</v>
      </c>
      <c r="I7" s="16">
        <v>0.79621848699999997</v>
      </c>
      <c r="J7" s="15">
        <v>1</v>
      </c>
      <c r="K7" s="15">
        <v>0</v>
      </c>
      <c r="L7" s="15">
        <v>0</v>
      </c>
      <c r="M7" s="14">
        <v>1</v>
      </c>
      <c r="N7" s="14">
        <v>0</v>
      </c>
      <c r="O7" s="25">
        <v>1.5</v>
      </c>
      <c r="P7" s="25">
        <v>0</v>
      </c>
      <c r="Q7" s="25">
        <v>0</v>
      </c>
      <c r="R7" s="25">
        <v>0</v>
      </c>
      <c r="S7" s="25">
        <v>0</v>
      </c>
    </row>
    <row r="8" spans="1:19">
      <c r="A8" s="14">
        <v>199</v>
      </c>
      <c r="B8" s="17" t="s">
        <v>138</v>
      </c>
      <c r="C8" s="17" t="s">
        <v>14</v>
      </c>
      <c r="D8" s="17" t="s">
        <v>7</v>
      </c>
      <c r="E8" s="14">
        <v>8</v>
      </c>
      <c r="F8" s="14">
        <v>3</v>
      </c>
      <c r="G8" s="16">
        <v>0</v>
      </c>
      <c r="H8" s="14">
        <v>9</v>
      </c>
      <c r="I8" s="16">
        <v>0.76890756299999996</v>
      </c>
      <c r="J8" s="15">
        <v>1</v>
      </c>
      <c r="K8" s="15">
        <v>0</v>
      </c>
      <c r="L8" s="15">
        <v>1</v>
      </c>
      <c r="M8" s="14">
        <v>0</v>
      </c>
      <c r="N8" s="14">
        <v>1</v>
      </c>
      <c r="O8" s="25">
        <v>0.75</v>
      </c>
      <c r="P8" s="25">
        <v>0</v>
      </c>
      <c r="Q8" s="25">
        <v>0.42857142999999998</v>
      </c>
      <c r="R8" s="25">
        <v>0</v>
      </c>
      <c r="S8" s="25">
        <v>4.5</v>
      </c>
    </row>
    <row r="9" spans="1:19">
      <c r="A9" s="14">
        <v>170</v>
      </c>
      <c r="B9" s="17" t="s">
        <v>137</v>
      </c>
      <c r="C9" s="17" t="s">
        <v>26</v>
      </c>
      <c r="D9" s="17" t="s">
        <v>7</v>
      </c>
      <c r="E9" s="14">
        <v>8</v>
      </c>
      <c r="F9" s="14">
        <v>4</v>
      </c>
      <c r="G9" s="16">
        <v>0</v>
      </c>
      <c r="H9" s="14">
        <v>9</v>
      </c>
      <c r="I9" s="16">
        <v>0.76932773099999996</v>
      </c>
      <c r="J9" s="15">
        <v>0</v>
      </c>
      <c r="K9" s="15">
        <v>0</v>
      </c>
      <c r="L9" s="15">
        <v>1</v>
      </c>
      <c r="M9" s="14">
        <v>1</v>
      </c>
      <c r="N9" s="14">
        <v>0</v>
      </c>
      <c r="O9" s="25">
        <v>0</v>
      </c>
      <c r="P9" s="25">
        <v>0</v>
      </c>
      <c r="Q9" s="25">
        <v>0.57142857000000002</v>
      </c>
      <c r="R9" s="25">
        <v>1.1428571428571399</v>
      </c>
      <c r="S9" s="25">
        <v>0</v>
      </c>
    </row>
    <row r="10" spans="1:19">
      <c r="A10" s="14">
        <v>19</v>
      </c>
      <c r="B10" s="17" t="s">
        <v>136</v>
      </c>
      <c r="C10" s="17" t="s">
        <v>12</v>
      </c>
      <c r="D10" s="17" t="s">
        <v>7</v>
      </c>
      <c r="E10" s="14">
        <v>2</v>
      </c>
      <c r="F10" s="14">
        <v>2</v>
      </c>
      <c r="G10" s="16">
        <v>0</v>
      </c>
      <c r="H10" s="14">
        <v>9</v>
      </c>
      <c r="I10" s="16">
        <v>0.77857142899999998</v>
      </c>
      <c r="J10" s="15">
        <v>1</v>
      </c>
      <c r="K10" s="15">
        <v>1</v>
      </c>
      <c r="L10" s="15">
        <v>1</v>
      </c>
      <c r="M10" s="14">
        <v>0</v>
      </c>
      <c r="N10" s="14">
        <v>0</v>
      </c>
      <c r="O10" s="25">
        <v>0</v>
      </c>
      <c r="P10" s="25">
        <v>0</v>
      </c>
      <c r="Q10" s="25">
        <v>0</v>
      </c>
      <c r="R10" s="25">
        <v>0</v>
      </c>
      <c r="S10" s="25">
        <v>0</v>
      </c>
    </row>
    <row r="11" spans="1:19">
      <c r="A11" s="14">
        <v>276</v>
      </c>
      <c r="B11" s="17" t="s">
        <v>135</v>
      </c>
      <c r="C11" s="17" t="s">
        <v>12</v>
      </c>
      <c r="D11" s="17" t="s">
        <v>7</v>
      </c>
      <c r="E11" s="14">
        <v>2</v>
      </c>
      <c r="F11" s="14">
        <v>8</v>
      </c>
      <c r="G11" s="16">
        <v>2.0299999999999999E-5</v>
      </c>
      <c r="H11" s="14">
        <v>8</v>
      </c>
      <c r="I11" s="16">
        <v>0.81764705900000001</v>
      </c>
      <c r="J11" s="15">
        <v>0</v>
      </c>
      <c r="K11" s="15">
        <v>1</v>
      </c>
      <c r="L11" s="15">
        <v>1</v>
      </c>
      <c r="M11" s="14">
        <v>0</v>
      </c>
      <c r="N11" s="14">
        <v>0</v>
      </c>
      <c r="O11" s="25">
        <v>0</v>
      </c>
      <c r="P11" s="25">
        <v>0</v>
      </c>
      <c r="Q11" s="25">
        <v>1</v>
      </c>
      <c r="R11" s="25">
        <v>0</v>
      </c>
      <c r="S11" s="25">
        <v>0</v>
      </c>
    </row>
    <row r="12" spans="1:19">
      <c r="A12" s="14">
        <v>56</v>
      </c>
      <c r="B12" s="17" t="s">
        <v>134</v>
      </c>
      <c r="C12" s="17" t="s">
        <v>14</v>
      </c>
      <c r="D12" s="17" t="s">
        <v>7</v>
      </c>
      <c r="E12" s="14">
        <v>2</v>
      </c>
      <c r="F12" s="14">
        <v>9</v>
      </c>
      <c r="G12" s="16">
        <v>6.1299999999999896E-4</v>
      </c>
      <c r="H12" s="14">
        <v>8</v>
      </c>
      <c r="I12" s="16">
        <v>0.82563025199999995</v>
      </c>
      <c r="J12" s="15">
        <v>1</v>
      </c>
      <c r="K12" s="15">
        <v>1</v>
      </c>
      <c r="L12" s="15">
        <v>1</v>
      </c>
      <c r="M12" s="14">
        <v>1</v>
      </c>
      <c r="N12" s="14">
        <v>1</v>
      </c>
      <c r="O12" s="25">
        <v>9</v>
      </c>
      <c r="P12" s="25">
        <v>0</v>
      </c>
      <c r="Q12" s="25">
        <v>1.28571429</v>
      </c>
      <c r="R12" s="25">
        <v>9</v>
      </c>
      <c r="S12" s="25">
        <v>9</v>
      </c>
    </row>
    <row r="13" spans="1:19">
      <c r="A13" s="14">
        <v>95</v>
      </c>
      <c r="B13" s="17" t="s">
        <v>133</v>
      </c>
      <c r="C13" s="17" t="s">
        <v>36</v>
      </c>
      <c r="D13" s="17" t="s">
        <v>7</v>
      </c>
      <c r="E13" s="14">
        <v>0</v>
      </c>
      <c r="F13" s="14">
        <v>5</v>
      </c>
      <c r="G13" s="16">
        <v>7.6423740000000004E-2</v>
      </c>
      <c r="H13" s="14">
        <v>6</v>
      </c>
      <c r="I13" s="16">
        <v>0.86512604999999998</v>
      </c>
      <c r="J13" s="15">
        <v>0</v>
      </c>
      <c r="K13" s="15">
        <v>1</v>
      </c>
      <c r="L13" s="15">
        <v>1</v>
      </c>
      <c r="M13" s="14">
        <v>1</v>
      </c>
      <c r="N13" s="14">
        <v>0</v>
      </c>
      <c r="O13" s="25">
        <v>0</v>
      </c>
      <c r="P13" s="25">
        <v>1.25</v>
      </c>
      <c r="Q13" s="25">
        <v>1.4285714300000001</v>
      </c>
      <c r="R13" s="25">
        <v>3.75</v>
      </c>
      <c r="S13" s="25">
        <v>0</v>
      </c>
    </row>
    <row r="14" spans="1:19">
      <c r="A14" s="14">
        <v>96</v>
      </c>
      <c r="B14" s="17" t="s">
        <v>132</v>
      </c>
      <c r="C14" s="17" t="s">
        <v>18</v>
      </c>
      <c r="D14" s="17" t="s">
        <v>32</v>
      </c>
      <c r="E14" s="14">
        <v>8</v>
      </c>
      <c r="F14" s="14">
        <v>10</v>
      </c>
      <c r="G14" s="16">
        <v>5.0512859999999899E-3</v>
      </c>
      <c r="H14" s="14">
        <v>9</v>
      </c>
      <c r="I14" s="16">
        <v>0.79957983200000005</v>
      </c>
      <c r="J14" s="15">
        <v>1</v>
      </c>
      <c r="K14" s="15">
        <v>1</v>
      </c>
      <c r="L14" s="15">
        <v>1</v>
      </c>
      <c r="M14" s="14">
        <v>1</v>
      </c>
      <c r="N14" s="14">
        <v>0</v>
      </c>
      <c r="O14" s="25">
        <v>15</v>
      </c>
      <c r="P14" s="25">
        <v>6.6666666699999997</v>
      </c>
      <c r="Q14" s="25">
        <v>5.7142857100000004</v>
      </c>
      <c r="R14" s="25">
        <v>4.2857142857142803</v>
      </c>
      <c r="S14" s="25">
        <v>0</v>
      </c>
    </row>
    <row r="15" spans="1:19">
      <c r="A15" s="14">
        <v>277</v>
      </c>
      <c r="B15" s="17" t="s">
        <v>131</v>
      </c>
      <c r="C15" s="17" t="s">
        <v>36</v>
      </c>
      <c r="D15" s="17" t="s">
        <v>32</v>
      </c>
      <c r="E15" s="14">
        <v>8</v>
      </c>
      <c r="F15" s="14">
        <v>9</v>
      </c>
      <c r="G15" s="16">
        <v>4.4340899999999999E-3</v>
      </c>
      <c r="H15" s="14">
        <v>9</v>
      </c>
      <c r="I15" s="16">
        <v>0.79915966400000005</v>
      </c>
      <c r="J15" s="15">
        <v>0</v>
      </c>
      <c r="K15" s="15">
        <v>1</v>
      </c>
      <c r="L15" s="15">
        <v>0</v>
      </c>
      <c r="M15" s="14">
        <v>0</v>
      </c>
      <c r="N15" s="14">
        <v>0</v>
      </c>
      <c r="O15" s="25">
        <v>0</v>
      </c>
      <c r="P15" s="25">
        <v>6.75</v>
      </c>
      <c r="Q15" s="25">
        <v>0</v>
      </c>
      <c r="R15" s="25">
        <v>0</v>
      </c>
      <c r="S15" s="25">
        <v>0</v>
      </c>
    </row>
    <row r="16" spans="1:19">
      <c r="A16" s="14">
        <v>204</v>
      </c>
      <c r="B16" s="17" t="s">
        <v>130</v>
      </c>
      <c r="C16" s="17" t="s">
        <v>14</v>
      </c>
      <c r="D16" s="17" t="s">
        <v>7</v>
      </c>
      <c r="E16" s="14">
        <v>8</v>
      </c>
      <c r="F16" s="14">
        <v>6</v>
      </c>
      <c r="G16" s="16">
        <v>1.8999999999999901E-4</v>
      </c>
      <c r="H16" s="14">
        <v>9</v>
      </c>
      <c r="I16" s="16">
        <v>0.79789916000000005</v>
      </c>
      <c r="J16" s="15">
        <v>0</v>
      </c>
      <c r="K16" s="15">
        <v>1</v>
      </c>
      <c r="L16" s="15">
        <v>1</v>
      </c>
      <c r="M16" s="14">
        <v>1</v>
      </c>
      <c r="N16" s="14">
        <v>0</v>
      </c>
      <c r="O16" s="25">
        <v>0</v>
      </c>
      <c r="P16" s="25">
        <v>2</v>
      </c>
      <c r="Q16" s="25">
        <v>2.5714285700000001</v>
      </c>
      <c r="R16" s="25">
        <v>1.71428571428571</v>
      </c>
      <c r="S16" s="25">
        <v>0</v>
      </c>
    </row>
    <row r="17" spans="1:19">
      <c r="A17" s="14">
        <v>26</v>
      </c>
      <c r="B17" s="17" t="s">
        <v>129</v>
      </c>
      <c r="C17" s="17" t="s">
        <v>12</v>
      </c>
      <c r="D17" s="17" t="s">
        <v>7</v>
      </c>
      <c r="E17" s="14">
        <v>1</v>
      </c>
      <c r="F17" s="14">
        <v>3</v>
      </c>
      <c r="G17" s="16">
        <v>0</v>
      </c>
      <c r="H17" s="14">
        <v>8</v>
      </c>
      <c r="I17" s="16">
        <v>0.83067226900000002</v>
      </c>
      <c r="J17" s="15">
        <v>0</v>
      </c>
      <c r="K17" s="15">
        <v>0</v>
      </c>
      <c r="L17" s="15">
        <v>1</v>
      </c>
      <c r="M17" s="14">
        <v>0</v>
      </c>
      <c r="N17" s="14">
        <v>0</v>
      </c>
      <c r="O17" s="25">
        <v>0</v>
      </c>
      <c r="P17" s="25">
        <v>0</v>
      </c>
      <c r="Q17" s="25">
        <v>1</v>
      </c>
      <c r="R17" s="25">
        <v>0</v>
      </c>
      <c r="S17" s="25">
        <v>0</v>
      </c>
    </row>
    <row r="18" spans="1:19">
      <c r="A18" s="14">
        <v>179</v>
      </c>
      <c r="B18" s="17" t="s">
        <v>128</v>
      </c>
      <c r="C18" s="17" t="s">
        <v>18</v>
      </c>
      <c r="D18" s="17" t="s">
        <v>7</v>
      </c>
      <c r="E18" s="14">
        <v>8</v>
      </c>
      <c r="F18" s="14">
        <v>10</v>
      </c>
      <c r="G18" s="16">
        <v>3.3023505000000002E-2</v>
      </c>
      <c r="H18" s="14">
        <v>8</v>
      </c>
      <c r="I18" s="16">
        <v>0.81722689099999901</v>
      </c>
      <c r="J18" s="15">
        <v>1</v>
      </c>
      <c r="K18" s="15">
        <v>1</v>
      </c>
      <c r="L18" s="15">
        <v>1</v>
      </c>
      <c r="M18" s="14">
        <v>1</v>
      </c>
      <c r="N18" s="14">
        <v>0</v>
      </c>
      <c r="O18" s="25">
        <v>15</v>
      </c>
      <c r="P18" s="25">
        <v>5</v>
      </c>
      <c r="Q18" s="25">
        <v>4.2857142899999996</v>
      </c>
      <c r="R18" s="25">
        <v>4.2857142857142803</v>
      </c>
      <c r="S18" s="25">
        <v>0</v>
      </c>
    </row>
    <row r="19" spans="1:19">
      <c r="A19" s="14">
        <v>269</v>
      </c>
      <c r="B19" s="17" t="s">
        <v>127</v>
      </c>
      <c r="C19" s="17" t="s">
        <v>26</v>
      </c>
      <c r="D19" s="17" t="s">
        <v>7</v>
      </c>
      <c r="E19" s="14">
        <v>5</v>
      </c>
      <c r="F19" s="14">
        <v>1</v>
      </c>
      <c r="G19" s="16">
        <v>0</v>
      </c>
      <c r="H19" s="14">
        <v>9</v>
      </c>
      <c r="I19" s="16">
        <v>0.78781512599999903</v>
      </c>
      <c r="J19" s="15">
        <v>0</v>
      </c>
      <c r="K19" s="15">
        <v>0</v>
      </c>
      <c r="L19" s="15">
        <v>1</v>
      </c>
      <c r="M19" s="14">
        <v>1</v>
      </c>
      <c r="N19" s="14">
        <v>0</v>
      </c>
      <c r="O19" s="25">
        <v>0</v>
      </c>
      <c r="P19" s="25">
        <v>0</v>
      </c>
      <c r="Q19" s="25">
        <v>0</v>
      </c>
      <c r="R19" s="25">
        <v>0</v>
      </c>
      <c r="S19" s="25">
        <v>0</v>
      </c>
    </row>
    <row r="20" spans="1:19">
      <c r="A20" s="14">
        <v>52</v>
      </c>
      <c r="B20" s="17" t="s">
        <v>126</v>
      </c>
      <c r="C20" s="17" t="s">
        <v>14</v>
      </c>
      <c r="D20" s="17" t="s">
        <v>7</v>
      </c>
      <c r="E20" s="14">
        <v>0</v>
      </c>
      <c r="F20" s="14">
        <v>1</v>
      </c>
      <c r="G20" s="16">
        <v>0</v>
      </c>
      <c r="H20" s="14">
        <v>7</v>
      </c>
      <c r="I20" s="16">
        <v>0.81554621799999905</v>
      </c>
      <c r="J20" s="15">
        <v>1</v>
      </c>
      <c r="K20" s="15">
        <v>1</v>
      </c>
      <c r="L20" s="15">
        <v>1</v>
      </c>
      <c r="M20" s="14">
        <v>1</v>
      </c>
      <c r="N20" s="14">
        <v>1</v>
      </c>
      <c r="O20" s="25">
        <v>1</v>
      </c>
      <c r="P20" s="25">
        <v>0</v>
      </c>
      <c r="Q20" s="25">
        <v>0</v>
      </c>
      <c r="R20" s="25">
        <v>0</v>
      </c>
      <c r="S20" s="25">
        <v>1</v>
      </c>
    </row>
    <row r="21" spans="1:19">
      <c r="A21" s="14">
        <v>274</v>
      </c>
      <c r="B21" s="17" t="s">
        <v>125</v>
      </c>
      <c r="C21" s="17" t="s">
        <v>12</v>
      </c>
      <c r="D21" s="17" t="s">
        <v>7</v>
      </c>
      <c r="E21" s="14">
        <v>4</v>
      </c>
      <c r="F21" s="14">
        <v>9</v>
      </c>
      <c r="G21" s="16">
        <v>1.5282169999999999E-2</v>
      </c>
      <c r="H21" s="14">
        <v>6</v>
      </c>
      <c r="I21" s="16">
        <v>0.874789915999999</v>
      </c>
      <c r="J21" s="15">
        <v>0</v>
      </c>
      <c r="K21" s="15">
        <v>0</v>
      </c>
      <c r="L21" s="15">
        <v>0</v>
      </c>
      <c r="M21" s="14">
        <v>0</v>
      </c>
      <c r="N21" s="14">
        <v>0</v>
      </c>
      <c r="O21" s="25">
        <v>0</v>
      </c>
      <c r="P21" s="25">
        <v>0</v>
      </c>
      <c r="Q21" s="25">
        <v>0</v>
      </c>
      <c r="R21" s="25">
        <v>0</v>
      </c>
      <c r="S21" s="25">
        <v>0</v>
      </c>
    </row>
    <row r="22" spans="1:19">
      <c r="A22" s="14">
        <v>75</v>
      </c>
      <c r="B22" s="17" t="s">
        <v>124</v>
      </c>
      <c r="C22" s="17" t="s">
        <v>12</v>
      </c>
      <c r="D22" s="17" t="s">
        <v>7</v>
      </c>
      <c r="E22" s="14">
        <v>4</v>
      </c>
      <c r="F22" s="14">
        <v>3</v>
      </c>
      <c r="G22" s="16">
        <v>0</v>
      </c>
      <c r="H22" s="14">
        <v>6</v>
      </c>
      <c r="I22" s="16">
        <v>0.84663865500000002</v>
      </c>
      <c r="J22" s="15">
        <v>0</v>
      </c>
      <c r="K22" s="15">
        <v>1</v>
      </c>
      <c r="L22" s="15">
        <v>1</v>
      </c>
      <c r="M22" s="14">
        <v>0</v>
      </c>
      <c r="N22" s="14">
        <v>0</v>
      </c>
      <c r="O22" s="25">
        <v>0</v>
      </c>
      <c r="P22" s="25">
        <v>0.42857142999999998</v>
      </c>
      <c r="Q22" s="25">
        <v>0.375</v>
      </c>
      <c r="R22" s="25">
        <v>0</v>
      </c>
      <c r="S22" s="25">
        <v>0</v>
      </c>
    </row>
    <row r="23" spans="1:19">
      <c r="A23" s="14">
        <v>125</v>
      </c>
      <c r="B23" s="17" t="s">
        <v>123</v>
      </c>
      <c r="C23" s="17" t="s">
        <v>12</v>
      </c>
      <c r="D23" s="17" t="s">
        <v>7</v>
      </c>
      <c r="E23" s="14">
        <v>5</v>
      </c>
      <c r="F23" s="14">
        <v>1</v>
      </c>
      <c r="G23" s="16">
        <v>0</v>
      </c>
      <c r="H23" s="14">
        <v>8</v>
      </c>
      <c r="I23" s="16">
        <v>0.80714285699999999</v>
      </c>
      <c r="J23" s="15">
        <v>0</v>
      </c>
      <c r="K23" s="15">
        <v>0</v>
      </c>
      <c r="L23" s="15">
        <v>0</v>
      </c>
      <c r="M23" s="14">
        <v>0</v>
      </c>
      <c r="N23" s="14">
        <v>0</v>
      </c>
      <c r="O23" s="25">
        <v>0</v>
      </c>
      <c r="P23" s="25">
        <v>0</v>
      </c>
      <c r="Q23" s="25">
        <v>0</v>
      </c>
      <c r="R23" s="25">
        <v>0</v>
      </c>
      <c r="S23" s="25">
        <v>0</v>
      </c>
    </row>
    <row r="24" spans="1:19">
      <c r="A24" s="14">
        <v>248</v>
      </c>
      <c r="B24" s="17" t="s">
        <v>122</v>
      </c>
      <c r="C24" s="17" t="s">
        <v>12</v>
      </c>
      <c r="D24" s="17" t="s">
        <v>7</v>
      </c>
      <c r="E24" s="14">
        <v>0</v>
      </c>
      <c r="F24" s="14">
        <v>1</v>
      </c>
      <c r="G24" s="16">
        <v>0</v>
      </c>
      <c r="H24" s="14">
        <v>7</v>
      </c>
      <c r="I24" s="16">
        <v>0.84957983199999998</v>
      </c>
      <c r="J24" s="15">
        <v>1</v>
      </c>
      <c r="K24" s="15">
        <v>0</v>
      </c>
      <c r="L24" s="15">
        <v>0</v>
      </c>
      <c r="M24" s="14">
        <v>1</v>
      </c>
      <c r="N24" s="14">
        <v>0</v>
      </c>
      <c r="O24" s="25">
        <v>0.1</v>
      </c>
      <c r="P24" s="25">
        <v>0</v>
      </c>
      <c r="Q24" s="25">
        <v>0</v>
      </c>
      <c r="R24" s="25">
        <v>0.25</v>
      </c>
      <c r="S24" s="25">
        <v>0</v>
      </c>
    </row>
    <row r="25" spans="1:19">
      <c r="A25" s="14">
        <v>16</v>
      </c>
      <c r="B25" s="17" t="s">
        <v>121</v>
      </c>
      <c r="C25" s="17" t="s">
        <v>12</v>
      </c>
      <c r="D25" s="17" t="s">
        <v>7</v>
      </c>
      <c r="E25" s="14">
        <v>4</v>
      </c>
      <c r="F25" s="14">
        <v>2</v>
      </c>
      <c r="G25" s="16">
        <v>6.3299999999999994E-5</v>
      </c>
      <c r="H25" s="14">
        <v>7</v>
      </c>
      <c r="I25" s="16">
        <v>0.82605041999999995</v>
      </c>
      <c r="J25" s="15">
        <v>0</v>
      </c>
      <c r="K25" s="15">
        <v>1</v>
      </c>
      <c r="L25" s="15">
        <v>1</v>
      </c>
      <c r="M25" s="14">
        <v>0</v>
      </c>
      <c r="N25" s="14">
        <v>0</v>
      </c>
      <c r="O25" s="25">
        <v>0</v>
      </c>
      <c r="P25" s="25">
        <v>0</v>
      </c>
      <c r="Q25" s="25">
        <v>0</v>
      </c>
      <c r="R25" s="25">
        <v>0</v>
      </c>
      <c r="S25" s="25">
        <v>0</v>
      </c>
    </row>
    <row r="26" spans="1:19">
      <c r="A26" s="14">
        <v>192</v>
      </c>
      <c r="B26" s="17" t="s">
        <v>120</v>
      </c>
      <c r="C26" s="17" t="s">
        <v>12</v>
      </c>
      <c r="D26" s="17" t="s">
        <v>7</v>
      </c>
      <c r="E26" s="14">
        <v>4</v>
      </c>
      <c r="F26" s="14">
        <v>2</v>
      </c>
      <c r="G26" s="16">
        <v>0</v>
      </c>
      <c r="H26" s="14">
        <v>8</v>
      </c>
      <c r="I26" s="16">
        <v>0.819747899</v>
      </c>
      <c r="J26" s="15">
        <v>1</v>
      </c>
      <c r="K26" s="15">
        <v>1</v>
      </c>
      <c r="L26" s="15">
        <v>0</v>
      </c>
      <c r="M26" s="14">
        <v>0</v>
      </c>
      <c r="N26" s="14">
        <v>1</v>
      </c>
      <c r="O26" s="25">
        <v>0.66666667000000002</v>
      </c>
      <c r="P26" s="25">
        <v>0.66666667000000002</v>
      </c>
      <c r="Q26" s="25">
        <v>0</v>
      </c>
      <c r="R26" s="25">
        <v>0</v>
      </c>
      <c r="S26" s="25">
        <v>0</v>
      </c>
    </row>
    <row r="27" spans="1:19">
      <c r="A27" s="14">
        <v>273</v>
      </c>
      <c r="B27" s="17" t="s">
        <v>119</v>
      </c>
      <c r="C27" s="17" t="s">
        <v>12</v>
      </c>
      <c r="D27" s="17" t="s">
        <v>7</v>
      </c>
      <c r="E27" s="14">
        <v>0</v>
      </c>
      <c r="F27" s="14">
        <v>6</v>
      </c>
      <c r="G27" s="16">
        <v>3.2239309999999898E-3</v>
      </c>
      <c r="H27" s="14">
        <v>6</v>
      </c>
      <c r="I27" s="16">
        <v>0.88487395000000002</v>
      </c>
      <c r="J27" s="15">
        <v>0</v>
      </c>
      <c r="K27" s="15">
        <v>1</v>
      </c>
      <c r="L27" s="15">
        <v>1</v>
      </c>
      <c r="M27" s="14">
        <v>0</v>
      </c>
      <c r="N27" s="14">
        <v>1</v>
      </c>
      <c r="O27" s="25">
        <v>0</v>
      </c>
      <c r="P27" s="25">
        <v>2.25</v>
      </c>
      <c r="Q27" s="25">
        <v>1.09090909</v>
      </c>
      <c r="R27" s="25">
        <v>0</v>
      </c>
      <c r="S27" s="25">
        <v>3.6</v>
      </c>
    </row>
    <row r="28" spans="1:19">
      <c r="A28" s="14">
        <v>106</v>
      </c>
      <c r="B28" s="17" t="s">
        <v>118</v>
      </c>
      <c r="C28" s="17" t="s">
        <v>12</v>
      </c>
      <c r="D28" s="17" t="s">
        <v>7</v>
      </c>
      <c r="E28" s="14">
        <v>0</v>
      </c>
      <c r="F28" s="14">
        <v>8</v>
      </c>
      <c r="G28" s="16">
        <v>3.7025700000000001E-3</v>
      </c>
      <c r="H28" s="14">
        <v>6</v>
      </c>
      <c r="I28" s="16">
        <v>0.88823529400000001</v>
      </c>
      <c r="J28" s="15">
        <v>0</v>
      </c>
      <c r="K28" s="15">
        <v>0</v>
      </c>
      <c r="L28" s="15">
        <v>1</v>
      </c>
      <c r="M28" s="14">
        <v>0</v>
      </c>
      <c r="N28" s="14">
        <v>0</v>
      </c>
      <c r="O28" s="25">
        <v>0</v>
      </c>
      <c r="P28" s="25">
        <v>0</v>
      </c>
      <c r="Q28" s="25">
        <v>3.4285714299999999</v>
      </c>
      <c r="R28" s="25">
        <v>0</v>
      </c>
      <c r="S28" s="25">
        <v>0</v>
      </c>
    </row>
    <row r="29" spans="1:19">
      <c r="A29" s="14">
        <v>31</v>
      </c>
      <c r="B29" s="17" t="s">
        <v>117</v>
      </c>
      <c r="C29" s="17" t="s">
        <v>12</v>
      </c>
      <c r="D29" s="17" t="s">
        <v>7</v>
      </c>
      <c r="E29" s="14">
        <v>3</v>
      </c>
      <c r="F29" s="14">
        <v>1</v>
      </c>
      <c r="G29" s="16">
        <v>0</v>
      </c>
      <c r="H29" s="14">
        <v>7</v>
      </c>
      <c r="I29" s="16">
        <v>0.83151260500000002</v>
      </c>
      <c r="J29" s="15">
        <v>0</v>
      </c>
      <c r="K29" s="15">
        <v>1</v>
      </c>
      <c r="L29" s="15">
        <v>1</v>
      </c>
      <c r="M29" s="14">
        <v>0</v>
      </c>
      <c r="N29" s="14">
        <v>1</v>
      </c>
      <c r="O29" s="25">
        <v>0</v>
      </c>
      <c r="P29" s="25">
        <v>0</v>
      </c>
      <c r="Q29" s="25">
        <v>0.25</v>
      </c>
      <c r="R29" s="25">
        <v>0</v>
      </c>
      <c r="S29" s="25">
        <v>0.33333333333333298</v>
      </c>
    </row>
    <row r="30" spans="1:19">
      <c r="A30" s="14">
        <v>234</v>
      </c>
      <c r="B30" s="17" t="s">
        <v>116</v>
      </c>
      <c r="C30" s="17" t="s">
        <v>14</v>
      </c>
      <c r="D30" s="17" t="s">
        <v>7</v>
      </c>
      <c r="E30" s="14">
        <v>7</v>
      </c>
      <c r="F30" s="14">
        <v>2</v>
      </c>
      <c r="G30" s="16">
        <v>0</v>
      </c>
      <c r="H30" s="14">
        <v>9</v>
      </c>
      <c r="I30" s="16">
        <v>0.76386554599999901</v>
      </c>
      <c r="J30" s="15">
        <v>1</v>
      </c>
      <c r="K30" s="15">
        <v>1</v>
      </c>
      <c r="L30" s="15">
        <v>1</v>
      </c>
      <c r="M30" s="14">
        <v>1</v>
      </c>
      <c r="N30" s="14">
        <v>0</v>
      </c>
      <c r="O30" s="25">
        <v>0</v>
      </c>
      <c r="P30" s="25">
        <v>0</v>
      </c>
      <c r="Q30" s="25">
        <v>0</v>
      </c>
      <c r="R30" s="25">
        <v>4</v>
      </c>
      <c r="S30" s="25">
        <v>0</v>
      </c>
    </row>
    <row r="31" spans="1:19">
      <c r="A31" s="14">
        <v>262</v>
      </c>
      <c r="B31" s="17" t="s">
        <v>115</v>
      </c>
      <c r="C31" s="17" t="s">
        <v>12</v>
      </c>
      <c r="D31" s="17" t="s">
        <v>7</v>
      </c>
      <c r="E31" s="14">
        <v>7</v>
      </c>
      <c r="F31" s="14">
        <v>3</v>
      </c>
      <c r="G31" s="16">
        <v>4.6278433000000001E-2</v>
      </c>
      <c r="H31" s="14">
        <v>8</v>
      </c>
      <c r="I31" s="16">
        <v>0.83193277300000001</v>
      </c>
      <c r="J31" s="15">
        <v>0</v>
      </c>
      <c r="K31" s="15">
        <v>1</v>
      </c>
      <c r="L31" s="15">
        <v>1</v>
      </c>
      <c r="M31" s="14">
        <v>0</v>
      </c>
      <c r="N31" s="14">
        <v>1</v>
      </c>
      <c r="O31" s="25">
        <v>0</v>
      </c>
      <c r="P31" s="25">
        <v>0</v>
      </c>
      <c r="Q31" s="25">
        <v>0.75</v>
      </c>
      <c r="R31" s="25">
        <v>0</v>
      </c>
      <c r="S31" s="25">
        <v>1.5</v>
      </c>
    </row>
    <row r="32" spans="1:19">
      <c r="A32" s="14">
        <v>255</v>
      </c>
      <c r="B32" s="17" t="s">
        <v>114</v>
      </c>
      <c r="C32" s="17" t="s">
        <v>113</v>
      </c>
      <c r="D32" s="17" t="s">
        <v>7</v>
      </c>
      <c r="E32" s="14">
        <v>0</v>
      </c>
      <c r="F32" s="14">
        <v>1</v>
      </c>
      <c r="G32" s="16">
        <v>0</v>
      </c>
      <c r="H32" s="14">
        <v>7</v>
      </c>
      <c r="I32" s="16">
        <v>0.84957983199999998</v>
      </c>
      <c r="J32" s="15">
        <v>0</v>
      </c>
      <c r="K32" s="15">
        <v>1</v>
      </c>
      <c r="L32" s="15">
        <v>1</v>
      </c>
      <c r="M32" s="14">
        <v>0</v>
      </c>
      <c r="N32" s="14">
        <v>0</v>
      </c>
      <c r="O32" s="25">
        <v>0</v>
      </c>
      <c r="P32" s="25">
        <v>0</v>
      </c>
      <c r="Q32" s="25">
        <v>0</v>
      </c>
      <c r="R32" s="25">
        <v>0</v>
      </c>
      <c r="S32" s="25">
        <v>0</v>
      </c>
    </row>
    <row r="33" spans="1:19">
      <c r="A33" s="14">
        <v>280</v>
      </c>
      <c r="B33" s="17" t="s">
        <v>112</v>
      </c>
      <c r="C33" s="17" t="s">
        <v>12</v>
      </c>
      <c r="D33" s="17" t="s">
        <v>7</v>
      </c>
      <c r="E33" s="14">
        <v>8</v>
      </c>
      <c r="F33" s="14">
        <v>1</v>
      </c>
      <c r="G33" s="16">
        <v>0</v>
      </c>
      <c r="H33" s="14">
        <v>9</v>
      </c>
      <c r="I33" s="16">
        <v>0.79453781499999998</v>
      </c>
      <c r="J33" s="15">
        <v>0</v>
      </c>
      <c r="K33" s="15">
        <v>1</v>
      </c>
      <c r="L33" s="15">
        <v>0</v>
      </c>
      <c r="M33" s="14">
        <v>0</v>
      </c>
      <c r="N33" s="14">
        <v>0</v>
      </c>
      <c r="O33" s="25">
        <v>0</v>
      </c>
      <c r="P33" s="25">
        <v>0.1</v>
      </c>
      <c r="Q33" s="25">
        <v>0</v>
      </c>
      <c r="R33" s="25">
        <v>0</v>
      </c>
      <c r="S33" s="25">
        <v>0</v>
      </c>
    </row>
    <row r="34" spans="1:19">
      <c r="A34" s="14">
        <v>14</v>
      </c>
      <c r="B34" s="17" t="s">
        <v>111</v>
      </c>
      <c r="C34" s="17" t="s">
        <v>12</v>
      </c>
      <c r="D34" s="17" t="s">
        <v>7</v>
      </c>
      <c r="E34" s="14">
        <v>4</v>
      </c>
      <c r="F34" s="14">
        <v>1</v>
      </c>
      <c r="G34" s="16">
        <v>0</v>
      </c>
      <c r="H34" s="14">
        <v>9</v>
      </c>
      <c r="I34" s="16">
        <v>0.76638655499999997</v>
      </c>
      <c r="J34" s="15">
        <v>0</v>
      </c>
      <c r="K34" s="15">
        <v>0</v>
      </c>
      <c r="L34" s="15">
        <v>0</v>
      </c>
      <c r="M34" s="14">
        <v>0</v>
      </c>
      <c r="N34" s="14">
        <v>0</v>
      </c>
      <c r="O34" s="25">
        <v>0</v>
      </c>
      <c r="P34" s="25">
        <v>0</v>
      </c>
      <c r="Q34" s="25">
        <v>0</v>
      </c>
      <c r="R34" s="25">
        <v>0</v>
      </c>
      <c r="S34" s="25">
        <v>0</v>
      </c>
    </row>
    <row r="35" spans="1:19">
      <c r="A35" s="14">
        <v>247</v>
      </c>
      <c r="B35" s="17" t="s">
        <v>110</v>
      </c>
      <c r="C35" s="17" t="s">
        <v>12</v>
      </c>
      <c r="D35" s="17" t="s">
        <v>7</v>
      </c>
      <c r="E35" s="14">
        <v>4</v>
      </c>
      <c r="F35" s="14">
        <v>1</v>
      </c>
      <c r="G35" s="16">
        <v>0</v>
      </c>
      <c r="H35" s="14">
        <v>8</v>
      </c>
      <c r="I35" s="16">
        <v>0.81092436999999995</v>
      </c>
      <c r="J35" s="15">
        <v>0</v>
      </c>
      <c r="K35" s="15">
        <v>1</v>
      </c>
      <c r="L35" s="15">
        <v>1</v>
      </c>
      <c r="M35" s="14">
        <v>0</v>
      </c>
      <c r="N35" s="14">
        <v>0</v>
      </c>
      <c r="O35" s="25">
        <v>0</v>
      </c>
      <c r="P35" s="25">
        <v>0.125</v>
      </c>
      <c r="Q35" s="25">
        <v>0</v>
      </c>
      <c r="R35" s="25">
        <v>0</v>
      </c>
      <c r="S35" s="25">
        <v>0</v>
      </c>
    </row>
    <row r="36" spans="1:19">
      <c r="A36" s="14">
        <v>228</v>
      </c>
      <c r="B36" s="17" t="s">
        <v>109</v>
      </c>
      <c r="C36" s="17" t="s">
        <v>18</v>
      </c>
      <c r="D36" s="17" t="s">
        <v>7</v>
      </c>
      <c r="E36" s="14">
        <v>0</v>
      </c>
      <c r="F36" s="14">
        <v>12</v>
      </c>
      <c r="G36" s="16">
        <v>2.3547650999999999E-2</v>
      </c>
      <c r="H36" s="14">
        <v>6</v>
      </c>
      <c r="I36" s="16">
        <v>0.89411764699999996</v>
      </c>
      <c r="J36" s="15">
        <v>0</v>
      </c>
      <c r="K36" s="15">
        <v>0</v>
      </c>
      <c r="L36" s="15">
        <v>1</v>
      </c>
      <c r="M36" s="14">
        <v>1</v>
      </c>
      <c r="N36" s="14">
        <v>0</v>
      </c>
      <c r="O36" s="25">
        <v>0</v>
      </c>
      <c r="P36" s="25">
        <v>0</v>
      </c>
      <c r="Q36" s="25">
        <v>3.4285714299999999</v>
      </c>
      <c r="R36" s="25">
        <v>24</v>
      </c>
      <c r="S36" s="25">
        <v>0</v>
      </c>
    </row>
    <row r="37" spans="1:19">
      <c r="A37" s="14">
        <v>222</v>
      </c>
      <c r="B37" s="17" t="s">
        <v>108</v>
      </c>
      <c r="C37" s="17" t="s">
        <v>12</v>
      </c>
      <c r="D37" s="17" t="s">
        <v>7</v>
      </c>
      <c r="E37" s="14">
        <v>0</v>
      </c>
      <c r="F37" s="14">
        <v>13</v>
      </c>
      <c r="G37" s="16">
        <v>3.5392611999999997E-2</v>
      </c>
      <c r="H37" s="14">
        <v>5</v>
      </c>
      <c r="I37" s="16">
        <v>0.89873949599999903</v>
      </c>
      <c r="J37" s="15">
        <v>1</v>
      </c>
      <c r="K37" s="15">
        <v>0</v>
      </c>
      <c r="L37" s="15">
        <v>1</v>
      </c>
      <c r="M37" s="14">
        <v>0</v>
      </c>
      <c r="N37" s="14">
        <v>0</v>
      </c>
      <c r="O37" s="25">
        <v>26</v>
      </c>
      <c r="P37" s="25">
        <v>0</v>
      </c>
      <c r="Q37" s="25">
        <v>9.75</v>
      </c>
      <c r="R37" s="25">
        <v>0</v>
      </c>
      <c r="S37" s="25">
        <v>0</v>
      </c>
    </row>
    <row r="38" spans="1:19">
      <c r="A38" s="14">
        <v>250</v>
      </c>
      <c r="B38" s="17" t="s">
        <v>107</v>
      </c>
      <c r="C38" s="17" t="s">
        <v>106</v>
      </c>
      <c r="D38" s="17" t="s">
        <v>7</v>
      </c>
      <c r="E38" s="14">
        <v>0</v>
      </c>
      <c r="F38" s="14">
        <v>8</v>
      </c>
      <c r="G38" s="16">
        <v>4.4370492999999997E-2</v>
      </c>
      <c r="H38" s="14">
        <v>5</v>
      </c>
      <c r="I38" s="16">
        <v>0.89159663899999997</v>
      </c>
      <c r="J38" s="15">
        <v>0</v>
      </c>
      <c r="K38" s="15">
        <v>1</v>
      </c>
      <c r="L38" s="15">
        <v>0</v>
      </c>
      <c r="M38" s="14">
        <v>0</v>
      </c>
      <c r="N38" s="14">
        <v>0</v>
      </c>
      <c r="O38" s="25">
        <v>0</v>
      </c>
      <c r="P38" s="25">
        <v>4</v>
      </c>
      <c r="Q38" s="25">
        <v>0</v>
      </c>
      <c r="R38" s="25">
        <v>0</v>
      </c>
      <c r="S38" s="25">
        <v>0</v>
      </c>
    </row>
    <row r="39" spans="1:19">
      <c r="A39" s="14">
        <v>54</v>
      </c>
      <c r="B39" s="17" t="s">
        <v>105</v>
      </c>
      <c r="C39" s="17" t="s">
        <v>12</v>
      </c>
      <c r="D39" s="17" t="s">
        <v>7</v>
      </c>
      <c r="E39" s="14">
        <v>2</v>
      </c>
      <c r="F39" s="14">
        <v>14</v>
      </c>
      <c r="G39" s="16">
        <v>0.13832455399999999</v>
      </c>
      <c r="H39" s="14">
        <v>7</v>
      </c>
      <c r="I39" s="16">
        <v>0.86260504199999999</v>
      </c>
      <c r="J39" s="15">
        <v>0</v>
      </c>
      <c r="K39" s="15">
        <v>1</v>
      </c>
      <c r="L39" s="15">
        <v>0</v>
      </c>
      <c r="M39" s="14">
        <v>0</v>
      </c>
      <c r="N39" s="14">
        <v>0</v>
      </c>
      <c r="O39" s="25">
        <v>0</v>
      </c>
      <c r="P39" s="25">
        <v>1.75</v>
      </c>
      <c r="Q39" s="25">
        <v>0</v>
      </c>
      <c r="R39" s="25">
        <v>0</v>
      </c>
      <c r="S39" s="25">
        <v>0</v>
      </c>
    </row>
    <row r="40" spans="1:19">
      <c r="A40" s="14">
        <v>81</v>
      </c>
      <c r="B40" s="17" t="s">
        <v>104</v>
      </c>
      <c r="C40" s="17" t="s">
        <v>12</v>
      </c>
      <c r="D40" s="17" t="s">
        <v>7</v>
      </c>
      <c r="E40" s="14">
        <v>3</v>
      </c>
      <c r="F40" s="14">
        <v>1</v>
      </c>
      <c r="G40" s="16">
        <v>0</v>
      </c>
      <c r="H40" s="14">
        <v>8</v>
      </c>
      <c r="I40" s="16">
        <v>0.80294117599999904</v>
      </c>
      <c r="J40" s="15">
        <v>0</v>
      </c>
      <c r="K40" s="15">
        <v>1</v>
      </c>
      <c r="L40" s="15">
        <v>1</v>
      </c>
      <c r="M40" s="14">
        <v>0</v>
      </c>
      <c r="N40" s="14">
        <v>0</v>
      </c>
      <c r="O40" s="25">
        <v>0</v>
      </c>
      <c r="P40" s="25">
        <v>0</v>
      </c>
      <c r="Q40" s="25">
        <v>0</v>
      </c>
      <c r="R40" s="25">
        <v>0</v>
      </c>
      <c r="S40" s="25">
        <v>0</v>
      </c>
    </row>
    <row r="41" spans="1:19">
      <c r="A41" s="14">
        <v>258</v>
      </c>
      <c r="B41" s="17" t="s">
        <v>103</v>
      </c>
      <c r="C41" s="17" t="s">
        <v>26</v>
      </c>
      <c r="D41" s="17" t="s">
        <v>7</v>
      </c>
      <c r="E41" s="14">
        <v>2</v>
      </c>
      <c r="F41" s="14">
        <v>1</v>
      </c>
      <c r="G41" s="16">
        <v>0</v>
      </c>
      <c r="H41" s="14">
        <v>9</v>
      </c>
      <c r="I41" s="16">
        <v>0.75168067199999999</v>
      </c>
      <c r="J41" s="15">
        <v>0</v>
      </c>
      <c r="K41" s="15">
        <v>1</v>
      </c>
      <c r="L41" s="15">
        <v>1</v>
      </c>
      <c r="M41" s="14">
        <v>1</v>
      </c>
      <c r="N41" s="14">
        <v>0</v>
      </c>
      <c r="O41" s="25">
        <v>0</v>
      </c>
      <c r="P41" s="25">
        <v>0</v>
      </c>
      <c r="Q41" s="25">
        <v>0</v>
      </c>
      <c r="R41" s="25">
        <v>0</v>
      </c>
      <c r="S41" s="25">
        <v>0</v>
      </c>
    </row>
    <row r="42" spans="1:19">
      <c r="A42" s="14">
        <v>128</v>
      </c>
      <c r="B42" s="17" t="s">
        <v>102</v>
      </c>
      <c r="C42" s="17" t="s">
        <v>26</v>
      </c>
      <c r="D42" s="17" t="s">
        <v>7</v>
      </c>
      <c r="E42" s="14">
        <v>1</v>
      </c>
      <c r="F42" s="14">
        <v>1</v>
      </c>
      <c r="G42" s="16">
        <v>0</v>
      </c>
      <c r="H42" s="14">
        <v>8</v>
      </c>
      <c r="I42" s="16">
        <v>0.83193277300000001</v>
      </c>
      <c r="J42" s="15">
        <v>1</v>
      </c>
      <c r="K42" s="15">
        <v>0</v>
      </c>
      <c r="L42" s="15">
        <v>1</v>
      </c>
      <c r="M42" s="14">
        <v>1</v>
      </c>
      <c r="N42" s="14">
        <v>0</v>
      </c>
      <c r="O42" s="25">
        <v>0.2</v>
      </c>
      <c r="P42" s="25">
        <v>0</v>
      </c>
      <c r="Q42" s="25">
        <v>0</v>
      </c>
      <c r="R42" s="25">
        <v>0</v>
      </c>
      <c r="S42" s="25">
        <v>0</v>
      </c>
    </row>
    <row r="43" spans="1:19">
      <c r="A43" s="14">
        <v>242</v>
      </c>
      <c r="B43" s="17" t="s">
        <v>101</v>
      </c>
      <c r="C43" s="17" t="s">
        <v>12</v>
      </c>
      <c r="D43" s="17" t="s">
        <v>7</v>
      </c>
      <c r="E43" s="14">
        <v>0</v>
      </c>
      <c r="F43" s="14">
        <v>6</v>
      </c>
      <c r="G43" s="16">
        <v>1.3200000000000001E-4</v>
      </c>
      <c r="H43" s="14">
        <v>6</v>
      </c>
      <c r="I43" s="16">
        <v>0.87857142899999996</v>
      </c>
      <c r="J43" s="15">
        <v>1</v>
      </c>
      <c r="K43" s="15">
        <v>1</v>
      </c>
      <c r="L43" s="15">
        <v>1</v>
      </c>
      <c r="M43" s="14">
        <v>0</v>
      </c>
      <c r="N43" s="14">
        <v>0</v>
      </c>
      <c r="O43" s="25">
        <v>1.71428571</v>
      </c>
      <c r="P43" s="25">
        <v>1.5</v>
      </c>
      <c r="Q43" s="25">
        <v>0</v>
      </c>
      <c r="R43" s="25">
        <v>0</v>
      </c>
      <c r="S43" s="25">
        <v>0</v>
      </c>
    </row>
    <row r="44" spans="1:19">
      <c r="A44" s="14">
        <v>207</v>
      </c>
      <c r="B44" s="17" t="s">
        <v>100</v>
      </c>
      <c r="C44" s="17" t="s">
        <v>12</v>
      </c>
      <c r="D44" s="17" t="s">
        <v>7</v>
      </c>
      <c r="E44" s="14">
        <v>5</v>
      </c>
      <c r="F44" s="14">
        <v>2</v>
      </c>
      <c r="G44" s="16">
        <v>0</v>
      </c>
      <c r="H44" s="14">
        <v>8</v>
      </c>
      <c r="I44" s="16">
        <v>0.81428571400000005</v>
      </c>
      <c r="J44" s="15">
        <v>0</v>
      </c>
      <c r="K44" s="15">
        <v>1</v>
      </c>
      <c r="L44" s="15">
        <v>0</v>
      </c>
      <c r="M44" s="14">
        <v>0</v>
      </c>
      <c r="N44" s="14">
        <v>1</v>
      </c>
      <c r="O44" s="25">
        <v>0</v>
      </c>
      <c r="P44" s="25">
        <v>0.28571428999999998</v>
      </c>
      <c r="Q44" s="25">
        <v>0</v>
      </c>
      <c r="R44" s="25">
        <v>0</v>
      </c>
      <c r="S44" s="25">
        <v>1</v>
      </c>
    </row>
    <row r="45" spans="1:19">
      <c r="A45" s="14">
        <v>155</v>
      </c>
      <c r="B45" s="17" t="s">
        <v>99</v>
      </c>
      <c r="C45" s="17" t="s">
        <v>12</v>
      </c>
      <c r="D45" s="17" t="s">
        <v>7</v>
      </c>
      <c r="E45" s="14">
        <v>5</v>
      </c>
      <c r="F45" s="14">
        <v>1</v>
      </c>
      <c r="G45" s="16">
        <v>0</v>
      </c>
      <c r="H45" s="14">
        <v>7</v>
      </c>
      <c r="I45" s="16">
        <v>0.84201680700000003</v>
      </c>
      <c r="J45" s="15">
        <v>1</v>
      </c>
      <c r="K45" s="15">
        <v>1</v>
      </c>
      <c r="L45" s="15">
        <v>1</v>
      </c>
      <c r="M45" s="14">
        <v>0</v>
      </c>
      <c r="N45" s="14">
        <v>0</v>
      </c>
      <c r="O45" s="25">
        <v>0</v>
      </c>
      <c r="P45" s="25">
        <v>0</v>
      </c>
      <c r="Q45" s="25">
        <v>0</v>
      </c>
      <c r="R45" s="25">
        <v>0</v>
      </c>
      <c r="S45" s="25">
        <v>0</v>
      </c>
    </row>
    <row r="46" spans="1:19">
      <c r="A46" s="14">
        <v>15</v>
      </c>
      <c r="B46" s="17" t="s">
        <v>98</v>
      </c>
      <c r="C46" s="17" t="s">
        <v>12</v>
      </c>
      <c r="D46" s="17" t="s">
        <v>7</v>
      </c>
      <c r="E46" s="14">
        <v>4</v>
      </c>
      <c r="F46" s="14">
        <v>3</v>
      </c>
      <c r="G46" s="16">
        <v>9.2199999999999997E-4</v>
      </c>
      <c r="H46" s="14">
        <v>6</v>
      </c>
      <c r="I46" s="16">
        <v>0.85210083999999997</v>
      </c>
      <c r="J46" s="15">
        <v>1</v>
      </c>
      <c r="K46" s="15">
        <v>0</v>
      </c>
      <c r="L46" s="15">
        <v>1</v>
      </c>
      <c r="M46" s="14">
        <v>1</v>
      </c>
      <c r="N46" s="14">
        <v>1</v>
      </c>
      <c r="O46" s="25">
        <v>1.5</v>
      </c>
      <c r="P46" s="25">
        <v>0</v>
      </c>
      <c r="Q46" s="25">
        <v>0</v>
      </c>
      <c r="R46" s="25">
        <v>9</v>
      </c>
      <c r="S46" s="25">
        <v>1.5</v>
      </c>
    </row>
    <row r="47" spans="1:19">
      <c r="A47" s="14">
        <v>83</v>
      </c>
      <c r="B47" s="17" t="s">
        <v>97</v>
      </c>
      <c r="C47" s="17" t="s">
        <v>26</v>
      </c>
      <c r="D47" s="17" t="s">
        <v>7</v>
      </c>
      <c r="E47" s="14">
        <v>3</v>
      </c>
      <c r="F47" s="14">
        <v>3</v>
      </c>
      <c r="G47" s="16">
        <v>2.0245559999999998E-3</v>
      </c>
      <c r="H47" s="14">
        <v>6</v>
      </c>
      <c r="I47" s="16">
        <v>0.86932773099999905</v>
      </c>
      <c r="J47" s="15">
        <v>1</v>
      </c>
      <c r="K47" s="15">
        <v>1</v>
      </c>
      <c r="L47" s="15">
        <v>1</v>
      </c>
      <c r="M47" s="14">
        <v>1</v>
      </c>
      <c r="N47" s="14">
        <v>1</v>
      </c>
      <c r="O47" s="25">
        <v>0.9</v>
      </c>
      <c r="P47" s="25">
        <v>0.33333332999999998</v>
      </c>
      <c r="Q47" s="25">
        <v>0.5</v>
      </c>
      <c r="R47" s="25">
        <v>1.8</v>
      </c>
      <c r="S47" s="25">
        <v>1</v>
      </c>
    </row>
    <row r="48" spans="1:19">
      <c r="A48" s="14">
        <v>219</v>
      </c>
      <c r="B48" s="17" t="s">
        <v>96</v>
      </c>
      <c r="C48" s="17" t="s">
        <v>12</v>
      </c>
      <c r="D48" s="17" t="s">
        <v>7</v>
      </c>
      <c r="E48" s="14">
        <v>0</v>
      </c>
      <c r="F48" s="14">
        <v>7</v>
      </c>
      <c r="G48" s="16">
        <v>7.7586802999999996E-2</v>
      </c>
      <c r="H48" s="14">
        <v>6</v>
      </c>
      <c r="I48" s="16">
        <v>0.88025210099999995</v>
      </c>
      <c r="J48" s="15">
        <v>1</v>
      </c>
      <c r="K48" s="15">
        <v>1</v>
      </c>
      <c r="L48" s="15">
        <v>1</v>
      </c>
      <c r="M48" s="14">
        <v>1</v>
      </c>
      <c r="N48" s="14">
        <v>0</v>
      </c>
      <c r="O48" s="25">
        <v>3</v>
      </c>
      <c r="P48" s="25">
        <v>0.875</v>
      </c>
      <c r="Q48" s="25">
        <v>0.7</v>
      </c>
      <c r="R48" s="25">
        <v>5.25</v>
      </c>
      <c r="S48" s="25">
        <v>0</v>
      </c>
    </row>
    <row r="49" spans="1:19">
      <c r="A49" s="14">
        <v>43</v>
      </c>
      <c r="B49" s="17" t="s">
        <v>95</v>
      </c>
      <c r="C49" s="17" t="s">
        <v>18</v>
      </c>
      <c r="D49" s="17" t="s">
        <v>7</v>
      </c>
      <c r="E49" s="14">
        <v>8</v>
      </c>
      <c r="F49" s="14">
        <v>1</v>
      </c>
      <c r="G49" s="16">
        <v>0</v>
      </c>
      <c r="H49" s="14">
        <v>9</v>
      </c>
      <c r="I49" s="16">
        <v>0.79453781499999998</v>
      </c>
      <c r="J49" s="15">
        <v>0</v>
      </c>
      <c r="K49" s="15">
        <v>1</v>
      </c>
      <c r="L49" s="15">
        <v>1</v>
      </c>
      <c r="M49" s="14">
        <v>1</v>
      </c>
      <c r="N49" s="14">
        <v>0</v>
      </c>
      <c r="O49" s="25">
        <v>0</v>
      </c>
      <c r="P49" s="25">
        <v>0.1</v>
      </c>
      <c r="Q49" s="25">
        <v>0.125</v>
      </c>
      <c r="R49" s="25">
        <v>0</v>
      </c>
      <c r="S49" s="25">
        <v>0</v>
      </c>
    </row>
    <row r="50" spans="1:19">
      <c r="A50" s="14">
        <v>51</v>
      </c>
      <c r="B50" s="17" t="s">
        <v>94</v>
      </c>
      <c r="C50" s="17" t="s">
        <v>12</v>
      </c>
      <c r="D50" s="17" t="s">
        <v>7</v>
      </c>
      <c r="E50" s="14">
        <v>7</v>
      </c>
      <c r="F50" s="14">
        <v>2</v>
      </c>
      <c r="G50" s="16">
        <v>0</v>
      </c>
      <c r="H50" s="14">
        <v>8</v>
      </c>
      <c r="I50" s="16">
        <v>0.82226890799999997</v>
      </c>
      <c r="J50" s="15">
        <v>0</v>
      </c>
      <c r="K50" s="15">
        <v>1</v>
      </c>
      <c r="L50" s="15">
        <v>1</v>
      </c>
      <c r="M50" s="14">
        <v>0</v>
      </c>
      <c r="N50" s="14">
        <v>1</v>
      </c>
      <c r="O50" s="25">
        <v>0</v>
      </c>
      <c r="P50" s="25">
        <v>0</v>
      </c>
      <c r="Q50" s="25">
        <v>1</v>
      </c>
      <c r="R50" s="25">
        <v>0</v>
      </c>
      <c r="S50" s="25">
        <v>1</v>
      </c>
    </row>
    <row r="51" spans="1:19">
      <c r="A51" s="14">
        <v>63</v>
      </c>
      <c r="B51" s="17" t="s">
        <v>93</v>
      </c>
      <c r="C51" s="17" t="s">
        <v>26</v>
      </c>
      <c r="D51" s="17" t="s">
        <v>7</v>
      </c>
      <c r="E51" s="14">
        <v>4</v>
      </c>
      <c r="F51" s="14">
        <v>2</v>
      </c>
      <c r="G51" s="16">
        <v>0</v>
      </c>
      <c r="H51" s="14">
        <v>8</v>
      </c>
      <c r="I51" s="16">
        <v>0.80630252099999999</v>
      </c>
      <c r="J51" s="15">
        <v>0</v>
      </c>
      <c r="K51" s="15">
        <v>0</v>
      </c>
      <c r="L51" s="15">
        <v>0</v>
      </c>
      <c r="M51" s="14">
        <v>1</v>
      </c>
      <c r="N51" s="14">
        <v>0</v>
      </c>
      <c r="O51" s="25">
        <v>0</v>
      </c>
      <c r="P51" s="25">
        <v>0</v>
      </c>
      <c r="Q51" s="25">
        <v>0</v>
      </c>
      <c r="R51" s="25">
        <v>1</v>
      </c>
      <c r="S51" s="25">
        <v>0</v>
      </c>
    </row>
    <row r="52" spans="1:19">
      <c r="A52" s="14">
        <v>97</v>
      </c>
      <c r="B52" s="17" t="s">
        <v>92</v>
      </c>
      <c r="C52" s="17" t="s">
        <v>36</v>
      </c>
      <c r="D52" s="17" t="s">
        <v>7</v>
      </c>
      <c r="E52" s="14">
        <v>7</v>
      </c>
      <c r="F52" s="14">
        <v>1</v>
      </c>
      <c r="G52" s="16">
        <v>0</v>
      </c>
      <c r="H52" s="14">
        <v>9</v>
      </c>
      <c r="I52" s="16">
        <v>0.76344537800000001</v>
      </c>
      <c r="J52" s="15">
        <v>0</v>
      </c>
      <c r="K52" s="15">
        <v>1</v>
      </c>
      <c r="L52" s="15">
        <v>0</v>
      </c>
      <c r="M52" s="14">
        <v>0</v>
      </c>
      <c r="N52" s="14">
        <v>0</v>
      </c>
      <c r="O52" s="25">
        <v>0</v>
      </c>
      <c r="P52" s="25">
        <v>0</v>
      </c>
      <c r="Q52" s="25">
        <v>0</v>
      </c>
      <c r="R52" s="25">
        <v>0</v>
      </c>
      <c r="S52" s="25">
        <v>0</v>
      </c>
    </row>
    <row r="53" spans="1:19">
      <c r="A53" s="14">
        <v>33</v>
      </c>
      <c r="B53" s="17" t="s">
        <v>91</v>
      </c>
      <c r="C53" s="17" t="s">
        <v>90</v>
      </c>
      <c r="D53" s="17" t="s">
        <v>7</v>
      </c>
      <c r="E53" s="14">
        <v>0</v>
      </c>
      <c r="F53" s="14">
        <v>2</v>
      </c>
      <c r="G53" s="16">
        <v>0</v>
      </c>
      <c r="H53" s="14">
        <v>6</v>
      </c>
      <c r="I53" s="16">
        <v>0.85756302500000003</v>
      </c>
      <c r="J53" s="15">
        <v>0</v>
      </c>
      <c r="K53" s="15">
        <v>1</v>
      </c>
      <c r="L53" s="15">
        <v>0</v>
      </c>
      <c r="M53" s="14">
        <v>0</v>
      </c>
      <c r="N53" s="14">
        <v>0</v>
      </c>
      <c r="O53" s="25">
        <v>0</v>
      </c>
      <c r="P53" s="25">
        <v>0.5</v>
      </c>
      <c r="Q53" s="25">
        <v>0</v>
      </c>
      <c r="R53" s="25">
        <v>0</v>
      </c>
      <c r="S53" s="25">
        <v>0</v>
      </c>
    </row>
    <row r="54" spans="1:19">
      <c r="A54" s="14">
        <v>4</v>
      </c>
      <c r="B54" s="17" t="s">
        <v>89</v>
      </c>
      <c r="C54" s="17" t="s">
        <v>12</v>
      </c>
      <c r="D54" s="17" t="s">
        <v>7</v>
      </c>
      <c r="E54" s="14">
        <v>2</v>
      </c>
      <c r="F54" s="14">
        <v>1</v>
      </c>
      <c r="G54" s="16">
        <v>0</v>
      </c>
      <c r="H54" s="14">
        <v>9</v>
      </c>
      <c r="I54" s="16">
        <v>0.77815126099999998</v>
      </c>
      <c r="J54" s="15">
        <v>1</v>
      </c>
      <c r="K54" s="15">
        <v>1</v>
      </c>
      <c r="L54" s="15">
        <v>0</v>
      </c>
      <c r="M54" s="14">
        <v>0</v>
      </c>
      <c r="N54" s="14">
        <v>0</v>
      </c>
      <c r="O54" s="25">
        <v>0</v>
      </c>
      <c r="P54" s="25">
        <v>0</v>
      </c>
      <c r="Q54" s="25">
        <v>0</v>
      </c>
      <c r="R54" s="25">
        <v>0</v>
      </c>
      <c r="S54" s="25">
        <v>0</v>
      </c>
    </row>
    <row r="55" spans="1:19">
      <c r="A55" s="14">
        <v>185</v>
      </c>
      <c r="B55" s="17" t="s">
        <v>88</v>
      </c>
      <c r="C55" s="17" t="s">
        <v>36</v>
      </c>
      <c r="D55" s="17" t="s">
        <v>11</v>
      </c>
      <c r="E55" s="14">
        <v>4</v>
      </c>
      <c r="F55" s="14">
        <v>5</v>
      </c>
      <c r="G55" s="16">
        <v>1.3268718000000001E-2</v>
      </c>
      <c r="H55" s="14">
        <v>7</v>
      </c>
      <c r="I55" s="16">
        <v>0.86092436999999999</v>
      </c>
      <c r="J55" s="15">
        <v>1</v>
      </c>
      <c r="K55" s="15">
        <v>1</v>
      </c>
      <c r="L55" s="15">
        <v>1</v>
      </c>
      <c r="M55" s="14">
        <v>1</v>
      </c>
      <c r="N55" s="14">
        <v>1</v>
      </c>
      <c r="O55" s="25">
        <v>1</v>
      </c>
      <c r="P55" s="25">
        <v>1.11111111</v>
      </c>
      <c r="Q55" s="25">
        <v>0.41666667000000002</v>
      </c>
      <c r="R55" s="25">
        <v>4</v>
      </c>
      <c r="S55" s="25">
        <v>1.1111111111111101</v>
      </c>
    </row>
    <row r="56" spans="1:19">
      <c r="A56" s="14">
        <v>132</v>
      </c>
      <c r="B56" s="17" t="s">
        <v>87</v>
      </c>
      <c r="C56" s="17" t="s">
        <v>18</v>
      </c>
      <c r="D56" s="17" t="s">
        <v>7</v>
      </c>
      <c r="E56" s="14">
        <v>4</v>
      </c>
      <c r="F56" s="14">
        <v>4</v>
      </c>
      <c r="G56" s="16">
        <v>2.169227E-2</v>
      </c>
      <c r="H56" s="14">
        <v>8</v>
      </c>
      <c r="I56" s="16">
        <v>0.81596638700000002</v>
      </c>
      <c r="J56" s="15">
        <v>1</v>
      </c>
      <c r="K56" s="15">
        <v>1</v>
      </c>
      <c r="L56" s="15">
        <v>0</v>
      </c>
      <c r="M56" s="14">
        <v>0</v>
      </c>
      <c r="N56" s="14">
        <v>0</v>
      </c>
      <c r="O56" s="25">
        <v>3</v>
      </c>
      <c r="P56" s="25">
        <v>4</v>
      </c>
      <c r="Q56" s="25">
        <v>0</v>
      </c>
      <c r="R56" s="25">
        <v>0</v>
      </c>
      <c r="S56" s="25">
        <v>0</v>
      </c>
    </row>
    <row r="57" spans="1:19">
      <c r="A57" s="14">
        <v>36</v>
      </c>
      <c r="B57" s="17" t="s">
        <v>86</v>
      </c>
      <c r="C57" s="17" t="s">
        <v>12</v>
      </c>
      <c r="D57" s="17" t="s">
        <v>7</v>
      </c>
      <c r="E57" s="14">
        <v>4</v>
      </c>
      <c r="F57" s="14">
        <v>1</v>
      </c>
      <c r="G57" s="16">
        <v>0</v>
      </c>
      <c r="H57" s="14">
        <v>8</v>
      </c>
      <c r="I57" s="16">
        <v>0.81344537799999905</v>
      </c>
      <c r="J57" s="15">
        <v>0</v>
      </c>
      <c r="K57" s="15">
        <v>1</v>
      </c>
      <c r="L57" s="15">
        <v>1</v>
      </c>
      <c r="M57" s="14">
        <v>0</v>
      </c>
      <c r="N57" s="14">
        <v>1</v>
      </c>
      <c r="O57" s="25">
        <v>0</v>
      </c>
      <c r="P57" s="25">
        <v>0.16666666999999999</v>
      </c>
      <c r="Q57" s="25">
        <v>0</v>
      </c>
      <c r="R57" s="25">
        <v>0</v>
      </c>
      <c r="S57" s="25">
        <v>0</v>
      </c>
    </row>
    <row r="58" spans="1:19">
      <c r="A58" s="14">
        <v>23</v>
      </c>
      <c r="B58" s="17" t="s">
        <v>85</v>
      </c>
      <c r="C58" s="17" t="s">
        <v>12</v>
      </c>
      <c r="D58" s="17" t="s">
        <v>7</v>
      </c>
      <c r="E58" s="14">
        <v>0</v>
      </c>
      <c r="F58" s="14">
        <v>14</v>
      </c>
      <c r="G58" s="16">
        <v>4.3048998999999998E-2</v>
      </c>
      <c r="H58" s="14">
        <v>5</v>
      </c>
      <c r="I58" s="16">
        <v>0.89369747899999996</v>
      </c>
      <c r="J58" s="15">
        <v>0</v>
      </c>
      <c r="K58" s="15">
        <v>1</v>
      </c>
      <c r="L58" s="15">
        <v>1</v>
      </c>
      <c r="M58" s="14">
        <v>0</v>
      </c>
      <c r="N58" s="14">
        <v>0</v>
      </c>
      <c r="O58" s="25">
        <v>0</v>
      </c>
      <c r="P58" s="25">
        <v>10</v>
      </c>
      <c r="Q58" s="25">
        <v>3.5</v>
      </c>
      <c r="R58" s="25">
        <v>0</v>
      </c>
      <c r="S58" s="25">
        <v>0</v>
      </c>
    </row>
    <row r="59" spans="1:19">
      <c r="A59" s="14">
        <v>28</v>
      </c>
      <c r="B59" s="17" t="s">
        <v>84</v>
      </c>
      <c r="C59" s="17" t="s">
        <v>36</v>
      </c>
      <c r="D59" s="17" t="s">
        <v>7</v>
      </c>
      <c r="E59" s="14">
        <v>1</v>
      </c>
      <c r="F59" s="14">
        <v>6</v>
      </c>
      <c r="G59" s="16">
        <v>9.1961649999999992E-3</v>
      </c>
      <c r="H59" s="14">
        <v>7</v>
      </c>
      <c r="I59" s="16">
        <v>0.86638655499999995</v>
      </c>
      <c r="J59" s="15">
        <v>0</v>
      </c>
      <c r="K59" s="15">
        <v>1</v>
      </c>
      <c r="L59" s="15">
        <v>1</v>
      </c>
      <c r="M59" s="14">
        <v>0</v>
      </c>
      <c r="N59" s="14">
        <v>0</v>
      </c>
      <c r="O59" s="25">
        <v>0</v>
      </c>
      <c r="P59" s="25">
        <v>2.4</v>
      </c>
      <c r="Q59" s="25">
        <v>3.6</v>
      </c>
      <c r="R59" s="25">
        <v>0</v>
      </c>
      <c r="S59" s="25">
        <v>0</v>
      </c>
    </row>
    <row r="60" spans="1:19">
      <c r="A60" s="14">
        <v>92</v>
      </c>
      <c r="B60" s="17" t="s">
        <v>83</v>
      </c>
      <c r="C60" s="17" t="s">
        <v>36</v>
      </c>
      <c r="D60" s="17" t="s">
        <v>7</v>
      </c>
      <c r="E60" s="14">
        <v>1</v>
      </c>
      <c r="F60" s="14">
        <v>8</v>
      </c>
      <c r="G60" s="16">
        <v>1.875011E-2</v>
      </c>
      <c r="H60" s="14">
        <v>8</v>
      </c>
      <c r="I60" s="16">
        <v>0.859663865999999</v>
      </c>
      <c r="J60" s="15">
        <v>0</v>
      </c>
      <c r="K60" s="15">
        <v>1</v>
      </c>
      <c r="L60" s="15">
        <v>1</v>
      </c>
      <c r="M60" s="14">
        <v>0</v>
      </c>
      <c r="N60" s="14">
        <v>0</v>
      </c>
      <c r="O60" s="25">
        <v>0</v>
      </c>
      <c r="P60" s="25">
        <v>4</v>
      </c>
      <c r="Q60" s="25">
        <v>2.6666666700000001</v>
      </c>
      <c r="R60" s="25">
        <v>0</v>
      </c>
      <c r="S60" s="25">
        <v>0</v>
      </c>
    </row>
    <row r="61" spans="1:19">
      <c r="A61" s="14">
        <v>144</v>
      </c>
      <c r="B61" s="17" t="s">
        <v>82</v>
      </c>
      <c r="C61" s="17" t="s">
        <v>36</v>
      </c>
      <c r="D61" s="17" t="s">
        <v>7</v>
      </c>
      <c r="E61" s="14">
        <v>3</v>
      </c>
      <c r="F61" s="14">
        <v>7</v>
      </c>
      <c r="G61" s="16">
        <v>5.9593574000000003E-2</v>
      </c>
      <c r="H61" s="14">
        <v>6</v>
      </c>
      <c r="I61" s="16">
        <v>0.88109243699999995</v>
      </c>
      <c r="J61" s="15">
        <v>0</v>
      </c>
      <c r="K61" s="15">
        <v>1</v>
      </c>
      <c r="L61" s="15">
        <v>0</v>
      </c>
      <c r="M61" s="14">
        <v>0</v>
      </c>
      <c r="N61" s="14">
        <v>0</v>
      </c>
      <c r="O61" s="25">
        <v>0</v>
      </c>
      <c r="P61" s="25">
        <v>3.5</v>
      </c>
      <c r="Q61" s="25">
        <v>0</v>
      </c>
      <c r="R61" s="25">
        <v>0</v>
      </c>
      <c r="S61" s="25">
        <v>0</v>
      </c>
    </row>
    <row r="62" spans="1:19">
      <c r="A62" s="14">
        <v>53</v>
      </c>
      <c r="B62" s="17" t="s">
        <v>81</v>
      </c>
      <c r="C62" s="17" t="s">
        <v>36</v>
      </c>
      <c r="D62" s="17" t="s">
        <v>7</v>
      </c>
      <c r="E62" s="14">
        <v>2</v>
      </c>
      <c r="F62" s="14">
        <v>6</v>
      </c>
      <c r="G62" s="16">
        <v>0</v>
      </c>
      <c r="H62" s="14">
        <v>8</v>
      </c>
      <c r="I62" s="16">
        <v>0.82436974799999996</v>
      </c>
      <c r="J62" s="15">
        <v>0</v>
      </c>
      <c r="K62" s="15">
        <v>1</v>
      </c>
      <c r="L62" s="15">
        <v>1</v>
      </c>
      <c r="M62" s="14">
        <v>1</v>
      </c>
      <c r="N62" s="14">
        <v>0</v>
      </c>
      <c r="O62" s="25">
        <v>0</v>
      </c>
      <c r="P62" s="25">
        <v>0</v>
      </c>
      <c r="Q62" s="25">
        <v>0.75</v>
      </c>
      <c r="R62" s="25">
        <v>4.8</v>
      </c>
      <c r="S62" s="25">
        <v>0</v>
      </c>
    </row>
    <row r="63" spans="1:19">
      <c r="A63" s="14">
        <v>35</v>
      </c>
      <c r="B63" s="17" t="s">
        <v>80</v>
      </c>
      <c r="C63" s="17" t="s">
        <v>18</v>
      </c>
      <c r="D63" s="17" t="s">
        <v>7</v>
      </c>
      <c r="E63" s="14">
        <v>8</v>
      </c>
      <c r="F63" s="14">
        <v>4</v>
      </c>
      <c r="G63" s="16">
        <v>0</v>
      </c>
      <c r="H63" s="14">
        <v>9</v>
      </c>
      <c r="I63" s="16">
        <v>0.79705882400000005</v>
      </c>
      <c r="J63" s="15">
        <v>1</v>
      </c>
      <c r="K63" s="15">
        <v>1</v>
      </c>
      <c r="L63" s="15">
        <v>1</v>
      </c>
      <c r="M63" s="14">
        <v>1</v>
      </c>
      <c r="N63" s="14">
        <v>0</v>
      </c>
      <c r="O63" s="25">
        <v>2</v>
      </c>
      <c r="P63" s="25">
        <v>0.66666667000000002</v>
      </c>
      <c r="Q63" s="25">
        <v>1.14285714</v>
      </c>
      <c r="R63" s="25">
        <v>0.57142857142857095</v>
      </c>
      <c r="S63" s="25">
        <v>0</v>
      </c>
    </row>
    <row r="64" spans="1:19">
      <c r="A64" s="14">
        <v>107</v>
      </c>
      <c r="B64" s="17" t="s">
        <v>79</v>
      </c>
      <c r="C64" s="17" t="s">
        <v>14</v>
      </c>
      <c r="D64" s="17" t="s">
        <v>7</v>
      </c>
      <c r="E64" s="14">
        <v>8</v>
      </c>
      <c r="F64" s="14">
        <v>4</v>
      </c>
      <c r="G64" s="16">
        <v>0</v>
      </c>
      <c r="H64" s="14">
        <v>9</v>
      </c>
      <c r="I64" s="16">
        <v>0.79705882400000005</v>
      </c>
      <c r="J64" s="15">
        <v>0</v>
      </c>
      <c r="K64" s="15">
        <v>1</v>
      </c>
      <c r="L64" s="15">
        <v>0</v>
      </c>
      <c r="M64" s="14">
        <v>1</v>
      </c>
      <c r="N64" s="14">
        <v>1</v>
      </c>
      <c r="O64" s="25">
        <v>0</v>
      </c>
      <c r="P64" s="25">
        <v>0.66666667000000002</v>
      </c>
      <c r="Q64" s="25">
        <v>0</v>
      </c>
      <c r="R64" s="25">
        <v>0.57142857142857095</v>
      </c>
      <c r="S64" s="25">
        <v>8</v>
      </c>
    </row>
    <row r="65" spans="1:19">
      <c r="A65" s="14">
        <v>221</v>
      </c>
      <c r="B65" s="17" t="s">
        <v>78</v>
      </c>
      <c r="C65" s="17" t="s">
        <v>26</v>
      </c>
      <c r="D65" s="17" t="s">
        <v>7</v>
      </c>
      <c r="E65" s="14">
        <v>8</v>
      </c>
      <c r="F65" s="14">
        <v>12</v>
      </c>
      <c r="G65" s="16">
        <v>0.151958278</v>
      </c>
      <c r="H65" s="14">
        <v>8</v>
      </c>
      <c r="I65" s="16">
        <v>0.84411764700000003</v>
      </c>
      <c r="J65" s="15">
        <v>0</v>
      </c>
      <c r="K65" s="15">
        <v>0</v>
      </c>
      <c r="L65" s="15">
        <v>0</v>
      </c>
      <c r="M65" s="14">
        <v>1</v>
      </c>
      <c r="N65" s="14">
        <v>0</v>
      </c>
      <c r="O65" s="25">
        <v>0</v>
      </c>
      <c r="P65" s="25">
        <v>0</v>
      </c>
      <c r="Q65" s="25">
        <v>0</v>
      </c>
      <c r="R65" s="25">
        <v>48</v>
      </c>
      <c r="S65" s="25">
        <v>0</v>
      </c>
    </row>
    <row r="66" spans="1:19">
      <c r="A66" s="14">
        <v>232</v>
      </c>
      <c r="B66" s="17" t="s">
        <v>77</v>
      </c>
      <c r="C66" s="17" t="s">
        <v>12</v>
      </c>
      <c r="D66" s="17" t="s">
        <v>32</v>
      </c>
      <c r="E66" s="14">
        <v>2</v>
      </c>
      <c r="F66" s="14">
        <v>9</v>
      </c>
      <c r="G66" s="16">
        <v>3.5399999999999999E-4</v>
      </c>
      <c r="H66" s="14">
        <v>8</v>
      </c>
      <c r="I66" s="16">
        <v>0.82563025199999995</v>
      </c>
      <c r="J66" s="15">
        <v>0</v>
      </c>
      <c r="K66" s="15">
        <v>1</v>
      </c>
      <c r="L66" s="15">
        <v>1</v>
      </c>
      <c r="M66" s="14">
        <v>0</v>
      </c>
      <c r="N66" s="14">
        <v>1</v>
      </c>
      <c r="O66" s="25">
        <v>0</v>
      </c>
      <c r="P66" s="25">
        <v>0</v>
      </c>
      <c r="Q66" s="25">
        <v>1.28571429</v>
      </c>
      <c r="R66" s="25">
        <v>0</v>
      </c>
      <c r="S66" s="25">
        <v>10.8</v>
      </c>
    </row>
    <row r="67" spans="1:19">
      <c r="A67" s="14">
        <v>39</v>
      </c>
      <c r="B67" s="17" t="s">
        <v>76</v>
      </c>
      <c r="C67" s="17" t="s">
        <v>75</v>
      </c>
      <c r="D67" s="17" t="s">
        <v>7</v>
      </c>
      <c r="E67" s="14">
        <v>2</v>
      </c>
      <c r="F67" s="14">
        <v>11</v>
      </c>
      <c r="G67" s="16">
        <v>4.9055790000000002E-3</v>
      </c>
      <c r="H67" s="14">
        <v>8</v>
      </c>
      <c r="I67" s="16">
        <v>0.82689075599999995</v>
      </c>
      <c r="J67" s="15">
        <v>1</v>
      </c>
      <c r="K67" s="15">
        <v>1</v>
      </c>
      <c r="L67" s="15">
        <v>1</v>
      </c>
      <c r="M67" s="14">
        <v>0</v>
      </c>
      <c r="N67" s="14">
        <v>1</v>
      </c>
      <c r="O67" s="25">
        <v>13.2</v>
      </c>
      <c r="P67" s="25">
        <v>0</v>
      </c>
      <c r="Q67" s="25">
        <v>1.5714285699999999</v>
      </c>
      <c r="R67" s="25">
        <v>0</v>
      </c>
      <c r="S67" s="25">
        <v>15.4</v>
      </c>
    </row>
    <row r="68" spans="1:19">
      <c r="A68" s="14">
        <v>182</v>
      </c>
      <c r="B68" s="17" t="s">
        <v>74</v>
      </c>
      <c r="C68" s="17" t="s">
        <v>18</v>
      </c>
      <c r="D68" s="17" t="s">
        <v>32</v>
      </c>
      <c r="E68" s="14">
        <v>2</v>
      </c>
      <c r="F68" s="14">
        <v>10</v>
      </c>
      <c r="G68" s="16">
        <v>8.6600180000000002E-3</v>
      </c>
      <c r="H68" s="14">
        <v>8</v>
      </c>
      <c r="I68" s="16">
        <v>0.82605041999999995</v>
      </c>
      <c r="J68" s="15">
        <v>1</v>
      </c>
      <c r="K68" s="15">
        <v>1</v>
      </c>
      <c r="L68" s="15">
        <v>1</v>
      </c>
      <c r="M68" s="14">
        <v>1</v>
      </c>
      <c r="N68" s="14">
        <v>1</v>
      </c>
      <c r="O68" s="25">
        <v>10</v>
      </c>
      <c r="P68" s="25">
        <v>0</v>
      </c>
      <c r="Q68" s="25">
        <v>1.4285714300000001</v>
      </c>
      <c r="R68" s="25">
        <v>12</v>
      </c>
      <c r="S68" s="25">
        <v>12</v>
      </c>
    </row>
    <row r="69" spans="1:19">
      <c r="A69" s="14">
        <v>178</v>
      </c>
      <c r="B69" s="17" t="s">
        <v>73</v>
      </c>
      <c r="C69" s="17" t="s">
        <v>26</v>
      </c>
      <c r="D69" s="17" t="s">
        <v>32</v>
      </c>
      <c r="E69" s="14">
        <v>2</v>
      </c>
      <c r="F69" s="14">
        <v>7</v>
      </c>
      <c r="G69" s="16">
        <v>0</v>
      </c>
      <c r="H69" s="14">
        <v>8</v>
      </c>
      <c r="I69" s="16">
        <v>0.81722689099999901</v>
      </c>
      <c r="J69" s="15">
        <v>1</v>
      </c>
      <c r="K69" s="15">
        <v>1</v>
      </c>
      <c r="L69" s="15">
        <v>1</v>
      </c>
      <c r="M69" s="14">
        <v>1</v>
      </c>
      <c r="N69" s="14">
        <v>1</v>
      </c>
      <c r="O69" s="25">
        <v>4.2</v>
      </c>
      <c r="P69" s="25">
        <v>0</v>
      </c>
      <c r="Q69" s="25">
        <v>1</v>
      </c>
      <c r="R69" s="25">
        <v>4.2</v>
      </c>
      <c r="S69" s="25">
        <v>5.6</v>
      </c>
    </row>
    <row r="70" spans="1:19">
      <c r="A70" s="14">
        <v>151</v>
      </c>
      <c r="B70" s="17" t="s">
        <v>72</v>
      </c>
      <c r="C70" s="17" t="s">
        <v>14</v>
      </c>
      <c r="D70" s="17" t="s">
        <v>32</v>
      </c>
      <c r="E70" s="14">
        <v>2</v>
      </c>
      <c r="F70" s="14">
        <v>13</v>
      </c>
      <c r="G70" s="16">
        <v>3.01868779999999E-2</v>
      </c>
      <c r="H70" s="14">
        <v>8</v>
      </c>
      <c r="I70" s="16">
        <v>0.82773109199999995</v>
      </c>
      <c r="J70" s="15">
        <v>1</v>
      </c>
      <c r="K70" s="15">
        <v>1</v>
      </c>
      <c r="L70" s="15">
        <v>1</v>
      </c>
      <c r="M70" s="14">
        <v>1</v>
      </c>
      <c r="N70" s="14">
        <v>0</v>
      </c>
      <c r="O70" s="25">
        <v>15.6</v>
      </c>
      <c r="P70" s="25">
        <v>0</v>
      </c>
      <c r="Q70" s="25">
        <v>3.71428571</v>
      </c>
      <c r="R70" s="25">
        <v>18.2</v>
      </c>
      <c r="S70" s="25">
        <v>0</v>
      </c>
    </row>
    <row r="71" spans="1:19">
      <c r="A71" s="14">
        <v>94</v>
      </c>
      <c r="B71" s="17" t="s">
        <v>71</v>
      </c>
      <c r="C71" s="17" t="s">
        <v>12</v>
      </c>
      <c r="D71" s="17" t="s">
        <v>7</v>
      </c>
      <c r="E71" s="14">
        <v>8</v>
      </c>
      <c r="F71" s="14">
        <v>2</v>
      </c>
      <c r="G71" s="16">
        <v>1.6352016E-2</v>
      </c>
      <c r="H71" s="14">
        <v>7</v>
      </c>
      <c r="I71" s="16">
        <v>0.84663865500000002</v>
      </c>
      <c r="J71" s="15">
        <v>0</v>
      </c>
      <c r="K71" s="15">
        <v>1</v>
      </c>
      <c r="L71" s="15">
        <v>1</v>
      </c>
      <c r="M71" s="14">
        <v>0</v>
      </c>
      <c r="N71" s="14">
        <v>0</v>
      </c>
      <c r="O71" s="25">
        <v>0</v>
      </c>
      <c r="P71" s="25">
        <v>0.2</v>
      </c>
      <c r="Q71" s="25">
        <v>0.25</v>
      </c>
      <c r="R71" s="25">
        <v>0</v>
      </c>
      <c r="S71" s="25">
        <v>0</v>
      </c>
    </row>
    <row r="72" spans="1:19">
      <c r="A72" s="14">
        <v>38</v>
      </c>
      <c r="B72" s="17" t="s">
        <v>70</v>
      </c>
      <c r="C72" s="17" t="s">
        <v>18</v>
      </c>
      <c r="D72" s="17" t="s">
        <v>7</v>
      </c>
      <c r="E72" s="14">
        <v>1</v>
      </c>
      <c r="F72" s="14">
        <v>11</v>
      </c>
      <c r="G72" s="16">
        <v>5.9110014000000002E-2</v>
      </c>
      <c r="H72" s="14">
        <v>7</v>
      </c>
      <c r="I72" s="16">
        <v>0.87899159699999996</v>
      </c>
      <c r="J72" s="15">
        <v>1</v>
      </c>
      <c r="K72" s="15">
        <v>1</v>
      </c>
      <c r="L72" s="15">
        <v>1</v>
      </c>
      <c r="M72" s="14">
        <v>1</v>
      </c>
      <c r="N72" s="14">
        <v>0</v>
      </c>
      <c r="O72" s="25">
        <v>27.5</v>
      </c>
      <c r="P72" s="25">
        <v>11</v>
      </c>
      <c r="Q72" s="25">
        <v>8.8000000000000007</v>
      </c>
      <c r="R72" s="25">
        <v>77</v>
      </c>
      <c r="S72" s="25">
        <v>0</v>
      </c>
    </row>
    <row r="73" spans="1:19">
      <c r="A73" s="14">
        <v>59</v>
      </c>
      <c r="B73" s="17" t="s">
        <v>69</v>
      </c>
      <c r="C73" s="17" t="s">
        <v>26</v>
      </c>
      <c r="D73" s="17" t="s">
        <v>7</v>
      </c>
      <c r="E73" s="14">
        <v>5</v>
      </c>
      <c r="F73" s="14">
        <v>9</v>
      </c>
      <c r="G73" s="16">
        <v>2.0325007999999999E-2</v>
      </c>
      <c r="H73" s="14">
        <v>7</v>
      </c>
      <c r="I73" s="16">
        <v>0.86722689099999895</v>
      </c>
      <c r="J73" s="15">
        <v>0</v>
      </c>
      <c r="K73" s="15">
        <v>1</v>
      </c>
      <c r="L73" s="15">
        <v>1</v>
      </c>
      <c r="M73" s="14">
        <v>1</v>
      </c>
      <c r="N73" s="14">
        <v>0</v>
      </c>
      <c r="O73" s="25">
        <v>0</v>
      </c>
      <c r="P73" s="25">
        <v>3</v>
      </c>
      <c r="Q73" s="25">
        <v>3</v>
      </c>
      <c r="R73" s="25">
        <v>13.5</v>
      </c>
      <c r="S73" s="25">
        <v>0</v>
      </c>
    </row>
    <row r="74" spans="1:19">
      <c r="A74" s="14">
        <v>167</v>
      </c>
      <c r="B74" s="17" t="s">
        <v>68</v>
      </c>
      <c r="C74" s="17" t="s">
        <v>18</v>
      </c>
      <c r="D74" s="17" t="s">
        <v>7</v>
      </c>
      <c r="E74" s="14">
        <v>5</v>
      </c>
      <c r="F74" s="14">
        <v>7</v>
      </c>
      <c r="G74" s="16">
        <v>1.4676865000000001E-2</v>
      </c>
      <c r="H74" s="14">
        <v>7</v>
      </c>
      <c r="I74" s="16">
        <v>0.87058823500000004</v>
      </c>
      <c r="J74" s="15">
        <v>1</v>
      </c>
      <c r="K74" s="15">
        <v>1</v>
      </c>
      <c r="L74" s="15">
        <v>1</v>
      </c>
      <c r="M74" s="14">
        <v>0</v>
      </c>
      <c r="N74" s="14">
        <v>0</v>
      </c>
      <c r="O74" s="25">
        <v>14</v>
      </c>
      <c r="P74" s="25">
        <v>1.4</v>
      </c>
      <c r="Q74" s="25">
        <v>1.4</v>
      </c>
      <c r="R74" s="25">
        <v>0</v>
      </c>
      <c r="S74" s="25">
        <v>0</v>
      </c>
    </row>
    <row r="75" spans="1:19">
      <c r="A75" s="14">
        <v>176</v>
      </c>
      <c r="B75" s="17" t="s">
        <v>67</v>
      </c>
      <c r="C75" s="17" t="s">
        <v>14</v>
      </c>
      <c r="D75" s="17" t="s">
        <v>7</v>
      </c>
      <c r="E75" s="14">
        <v>0</v>
      </c>
      <c r="F75" s="14">
        <v>16</v>
      </c>
      <c r="G75" s="16">
        <v>0.17538836999999999</v>
      </c>
      <c r="H75" s="14">
        <v>5</v>
      </c>
      <c r="I75" s="16">
        <v>0.90714285699999997</v>
      </c>
      <c r="J75" s="15">
        <v>1</v>
      </c>
      <c r="K75" s="15">
        <v>0</v>
      </c>
      <c r="L75" s="15">
        <v>1</v>
      </c>
      <c r="M75" s="14">
        <v>0</v>
      </c>
      <c r="N75" s="14">
        <v>1</v>
      </c>
      <c r="O75" s="25">
        <v>42.6666667</v>
      </c>
      <c r="P75" s="25">
        <v>0</v>
      </c>
      <c r="Q75" s="25">
        <v>16</v>
      </c>
      <c r="R75" s="25">
        <v>0</v>
      </c>
      <c r="S75" s="25">
        <v>58.6666666666666</v>
      </c>
    </row>
    <row r="76" spans="1:19">
      <c r="A76" s="14">
        <v>243</v>
      </c>
      <c r="B76" s="17" t="s">
        <v>66</v>
      </c>
      <c r="C76" s="17" t="s">
        <v>14</v>
      </c>
      <c r="D76" s="17" t="s">
        <v>7</v>
      </c>
      <c r="E76" s="14">
        <v>1</v>
      </c>
      <c r="F76" s="14">
        <v>3</v>
      </c>
      <c r="G76" s="16">
        <v>0</v>
      </c>
      <c r="H76" s="14">
        <v>8</v>
      </c>
      <c r="I76" s="16">
        <v>0.84075630299999904</v>
      </c>
      <c r="J76" s="15">
        <v>1</v>
      </c>
      <c r="K76" s="15">
        <v>1</v>
      </c>
      <c r="L76" s="15">
        <v>1</v>
      </c>
      <c r="M76" s="14">
        <v>0</v>
      </c>
      <c r="N76" s="14">
        <v>1</v>
      </c>
      <c r="O76" s="25">
        <v>1.2</v>
      </c>
      <c r="P76" s="25">
        <v>0.5</v>
      </c>
      <c r="Q76" s="25">
        <v>0.5</v>
      </c>
      <c r="R76" s="25">
        <v>0</v>
      </c>
      <c r="S76" s="25">
        <v>6</v>
      </c>
    </row>
    <row r="77" spans="1:19">
      <c r="A77" s="14">
        <v>156</v>
      </c>
      <c r="B77" s="17" t="s">
        <v>65</v>
      </c>
      <c r="C77" s="17" t="s">
        <v>12</v>
      </c>
      <c r="D77" s="17" t="s">
        <v>7</v>
      </c>
      <c r="E77" s="14">
        <v>0</v>
      </c>
      <c r="F77" s="14">
        <v>5</v>
      </c>
      <c r="G77" s="16">
        <v>2.8258466999999999E-2</v>
      </c>
      <c r="H77" s="14">
        <v>6</v>
      </c>
      <c r="I77" s="16">
        <v>0.88319327700000005</v>
      </c>
      <c r="J77" s="15">
        <v>0</v>
      </c>
      <c r="K77" s="15">
        <v>0</v>
      </c>
      <c r="L77" s="15">
        <v>1</v>
      </c>
      <c r="M77" s="14">
        <v>0</v>
      </c>
      <c r="N77" s="14">
        <v>0</v>
      </c>
      <c r="O77" s="25">
        <v>0</v>
      </c>
      <c r="P77" s="25">
        <v>0</v>
      </c>
      <c r="Q77" s="25">
        <v>0.71428570999999996</v>
      </c>
      <c r="R77" s="25">
        <v>0</v>
      </c>
      <c r="S77" s="25">
        <v>0</v>
      </c>
    </row>
    <row r="78" spans="1:19">
      <c r="A78" s="14">
        <v>6</v>
      </c>
      <c r="B78" s="17" t="s">
        <v>64</v>
      </c>
      <c r="C78" s="17" t="s">
        <v>12</v>
      </c>
      <c r="D78" s="17" t="s">
        <v>7</v>
      </c>
      <c r="E78" s="14">
        <v>5</v>
      </c>
      <c r="F78" s="14">
        <v>7</v>
      </c>
      <c r="G78" s="16">
        <v>2.4243810000000001E-2</v>
      </c>
      <c r="H78" s="14">
        <v>7</v>
      </c>
      <c r="I78" s="16">
        <v>0.85672268900000004</v>
      </c>
      <c r="J78" s="15">
        <v>0</v>
      </c>
      <c r="K78" s="15">
        <v>0</v>
      </c>
      <c r="L78" s="15">
        <v>1</v>
      </c>
      <c r="M78" s="14">
        <v>0</v>
      </c>
      <c r="N78" s="14">
        <v>0</v>
      </c>
      <c r="O78" s="25">
        <v>0</v>
      </c>
      <c r="P78" s="25">
        <v>0</v>
      </c>
      <c r="Q78" s="25">
        <v>10.5</v>
      </c>
      <c r="R78" s="25">
        <v>0</v>
      </c>
      <c r="S78" s="25">
        <v>0</v>
      </c>
    </row>
    <row r="79" spans="1:19">
      <c r="A79" s="14">
        <v>32</v>
      </c>
      <c r="B79" s="17" t="s">
        <v>63</v>
      </c>
      <c r="C79" s="17" t="s">
        <v>12</v>
      </c>
      <c r="D79" s="17" t="s">
        <v>7</v>
      </c>
      <c r="E79" s="14">
        <v>0</v>
      </c>
      <c r="F79" s="14">
        <v>3</v>
      </c>
      <c r="G79" s="16">
        <v>2.84999999999999E-5</v>
      </c>
      <c r="H79" s="14">
        <v>7</v>
      </c>
      <c r="I79" s="16">
        <v>0.85294117599999997</v>
      </c>
      <c r="J79" s="15">
        <v>1</v>
      </c>
      <c r="K79" s="15">
        <v>1</v>
      </c>
      <c r="L79" s="15">
        <v>1</v>
      </c>
      <c r="M79" s="14">
        <v>0</v>
      </c>
      <c r="N79" s="14">
        <v>1</v>
      </c>
      <c r="O79" s="25">
        <v>0.42857142999999998</v>
      </c>
      <c r="P79" s="25">
        <v>0.375</v>
      </c>
      <c r="Q79" s="25">
        <v>0</v>
      </c>
      <c r="R79" s="25">
        <v>0</v>
      </c>
      <c r="S79" s="25">
        <v>2</v>
      </c>
    </row>
    <row r="80" spans="1:19">
      <c r="A80" s="14">
        <v>113</v>
      </c>
      <c r="B80" s="17" t="s">
        <v>62</v>
      </c>
      <c r="C80" s="17" t="s">
        <v>36</v>
      </c>
      <c r="D80" s="17" t="s">
        <v>7</v>
      </c>
      <c r="E80" s="14">
        <v>0</v>
      </c>
      <c r="F80" s="14">
        <v>3</v>
      </c>
      <c r="G80" s="16">
        <v>5.25136099999999E-3</v>
      </c>
      <c r="H80" s="14">
        <v>6</v>
      </c>
      <c r="I80" s="16">
        <v>0.87100840299999904</v>
      </c>
      <c r="J80" s="15">
        <v>0</v>
      </c>
      <c r="K80" s="15">
        <v>1</v>
      </c>
      <c r="L80" s="15">
        <v>1</v>
      </c>
      <c r="M80" s="14">
        <v>1</v>
      </c>
      <c r="N80" s="14">
        <v>0</v>
      </c>
      <c r="O80" s="25">
        <v>0</v>
      </c>
      <c r="P80" s="25">
        <v>0.375</v>
      </c>
      <c r="Q80" s="25">
        <v>0</v>
      </c>
      <c r="R80" s="25">
        <v>0</v>
      </c>
      <c r="S80" s="25">
        <v>0</v>
      </c>
    </row>
    <row r="81" spans="1:19">
      <c r="A81" s="14">
        <v>11</v>
      </c>
      <c r="B81" s="17" t="s">
        <v>61</v>
      </c>
      <c r="C81" s="17" t="s">
        <v>36</v>
      </c>
      <c r="D81" s="17" t="s">
        <v>7</v>
      </c>
      <c r="E81" s="14">
        <v>0</v>
      </c>
      <c r="F81" s="14">
        <v>8</v>
      </c>
      <c r="G81" s="16">
        <v>3.3781429999999901E-3</v>
      </c>
      <c r="H81" s="14">
        <v>6</v>
      </c>
      <c r="I81" s="16">
        <v>0.88277310899999994</v>
      </c>
      <c r="J81" s="15">
        <v>1</v>
      </c>
      <c r="K81" s="15">
        <v>1</v>
      </c>
      <c r="L81" s="15">
        <v>1</v>
      </c>
      <c r="M81" s="14">
        <v>1</v>
      </c>
      <c r="N81" s="14">
        <v>1</v>
      </c>
      <c r="O81" s="25">
        <v>6</v>
      </c>
      <c r="P81" s="25">
        <v>6</v>
      </c>
      <c r="Q81" s="25">
        <v>1.3333333300000001</v>
      </c>
      <c r="R81" s="25">
        <v>18.6666666666666</v>
      </c>
      <c r="S81" s="25">
        <v>13.3333333333333</v>
      </c>
    </row>
    <row r="82" spans="1:19">
      <c r="A82" s="14">
        <v>187</v>
      </c>
      <c r="B82" s="17" t="s">
        <v>60</v>
      </c>
      <c r="C82" s="17" t="s">
        <v>14</v>
      </c>
      <c r="D82" s="17" t="s">
        <v>7</v>
      </c>
      <c r="E82" s="14">
        <v>1</v>
      </c>
      <c r="F82" s="14">
        <v>6</v>
      </c>
      <c r="G82" s="16">
        <v>2.3558820000000001E-3</v>
      </c>
      <c r="H82" s="14">
        <v>8</v>
      </c>
      <c r="I82" s="16">
        <v>0.85084033599999997</v>
      </c>
      <c r="J82" s="15">
        <v>1</v>
      </c>
      <c r="K82" s="15">
        <v>1</v>
      </c>
      <c r="L82" s="15">
        <v>1</v>
      </c>
      <c r="M82" s="14">
        <v>1</v>
      </c>
      <c r="N82" s="14">
        <v>0</v>
      </c>
      <c r="O82" s="25">
        <v>4.8</v>
      </c>
      <c r="P82" s="25">
        <v>1</v>
      </c>
      <c r="Q82" s="25">
        <v>1</v>
      </c>
      <c r="R82" s="25">
        <v>4.8</v>
      </c>
      <c r="S82" s="25">
        <v>0</v>
      </c>
    </row>
    <row r="83" spans="1:19">
      <c r="A83" s="14">
        <v>267</v>
      </c>
      <c r="B83" s="17" t="s">
        <v>59</v>
      </c>
      <c r="C83" s="17" t="s">
        <v>26</v>
      </c>
      <c r="D83" s="17" t="s">
        <v>7</v>
      </c>
      <c r="E83" s="14">
        <v>4</v>
      </c>
      <c r="F83" s="14">
        <v>6</v>
      </c>
      <c r="G83" s="16">
        <v>4.771951E-3</v>
      </c>
      <c r="H83" s="14">
        <v>7</v>
      </c>
      <c r="I83" s="16">
        <v>0.84831932799999998</v>
      </c>
      <c r="J83" s="15">
        <v>1</v>
      </c>
      <c r="K83" s="15">
        <v>1</v>
      </c>
      <c r="L83" s="15">
        <v>1</v>
      </c>
      <c r="M83" s="14">
        <v>1</v>
      </c>
      <c r="N83" s="14">
        <v>1</v>
      </c>
      <c r="O83" s="25">
        <v>6</v>
      </c>
      <c r="P83" s="25">
        <v>1.71428571</v>
      </c>
      <c r="Q83" s="25">
        <v>0.75</v>
      </c>
      <c r="R83" s="25">
        <v>12</v>
      </c>
      <c r="S83" s="25">
        <v>6</v>
      </c>
    </row>
    <row r="84" spans="1:19">
      <c r="A84" s="14">
        <v>223</v>
      </c>
      <c r="B84" s="17" t="s">
        <v>58</v>
      </c>
      <c r="C84" s="17" t="s">
        <v>12</v>
      </c>
      <c r="D84" s="17" t="s">
        <v>7</v>
      </c>
      <c r="E84" s="14">
        <v>0</v>
      </c>
      <c r="F84" s="14">
        <v>14</v>
      </c>
      <c r="G84" s="16">
        <v>9.8931894000000006E-2</v>
      </c>
      <c r="H84" s="14">
        <v>5</v>
      </c>
      <c r="I84" s="16">
        <v>0.90588235299999997</v>
      </c>
      <c r="J84" s="15">
        <v>1</v>
      </c>
      <c r="K84" s="15">
        <v>1</v>
      </c>
      <c r="L84" s="15">
        <v>1</v>
      </c>
      <c r="M84" s="14">
        <v>0</v>
      </c>
      <c r="N84" s="14">
        <v>1</v>
      </c>
      <c r="O84" s="25">
        <v>21</v>
      </c>
      <c r="P84" s="25">
        <v>12</v>
      </c>
      <c r="Q84" s="25">
        <v>5.25</v>
      </c>
      <c r="R84" s="25">
        <v>0</v>
      </c>
      <c r="S84" s="25">
        <v>38.5</v>
      </c>
    </row>
    <row r="85" spans="1:19">
      <c r="A85" s="14">
        <v>266</v>
      </c>
      <c r="B85" s="17" t="s">
        <v>57</v>
      </c>
      <c r="C85" s="17" t="s">
        <v>12</v>
      </c>
      <c r="D85" s="17" t="s">
        <v>7</v>
      </c>
      <c r="E85" s="14">
        <v>3</v>
      </c>
      <c r="F85" s="14">
        <v>4</v>
      </c>
      <c r="G85" s="16">
        <v>6.0506432999999998E-2</v>
      </c>
      <c r="H85" s="14">
        <v>7</v>
      </c>
      <c r="I85" s="16">
        <v>0.85252100799999997</v>
      </c>
      <c r="J85" s="15">
        <v>0</v>
      </c>
      <c r="K85" s="15">
        <v>1</v>
      </c>
      <c r="L85" s="15">
        <v>1</v>
      </c>
      <c r="M85" s="14">
        <v>0</v>
      </c>
      <c r="N85" s="14">
        <v>0</v>
      </c>
      <c r="O85" s="25">
        <v>0</v>
      </c>
      <c r="P85" s="25">
        <v>0</v>
      </c>
      <c r="Q85" s="25">
        <v>0.8</v>
      </c>
      <c r="R85" s="25">
        <v>0</v>
      </c>
      <c r="S85" s="25">
        <v>0</v>
      </c>
    </row>
    <row r="86" spans="1:19">
      <c r="A86" s="14">
        <v>165</v>
      </c>
      <c r="B86" s="17" t="s">
        <v>56</v>
      </c>
      <c r="C86" s="17" t="s">
        <v>14</v>
      </c>
      <c r="D86" s="17" t="s">
        <v>7</v>
      </c>
      <c r="E86" s="14">
        <v>5</v>
      </c>
      <c r="F86" s="14">
        <v>6</v>
      </c>
      <c r="G86" s="16">
        <v>1.7133294E-2</v>
      </c>
      <c r="H86" s="14">
        <v>8</v>
      </c>
      <c r="I86" s="16">
        <v>0.83739495799999997</v>
      </c>
      <c r="J86" s="15">
        <v>1</v>
      </c>
      <c r="K86" s="15">
        <v>0</v>
      </c>
      <c r="L86" s="15">
        <v>1</v>
      </c>
      <c r="M86" s="14">
        <v>1</v>
      </c>
      <c r="N86" s="14">
        <v>1</v>
      </c>
      <c r="O86" s="25">
        <v>24</v>
      </c>
      <c r="P86" s="25">
        <v>0</v>
      </c>
      <c r="Q86" s="25">
        <v>6</v>
      </c>
      <c r="R86" s="25">
        <v>12</v>
      </c>
      <c r="S86" s="25">
        <v>30</v>
      </c>
    </row>
    <row r="87" spans="1:19">
      <c r="A87" s="14">
        <v>137</v>
      </c>
      <c r="B87" s="17" t="s">
        <v>55</v>
      </c>
      <c r="C87" s="17" t="s">
        <v>54</v>
      </c>
      <c r="D87" s="17" t="s">
        <v>7</v>
      </c>
      <c r="E87" s="14">
        <v>5</v>
      </c>
      <c r="F87" s="14">
        <v>3</v>
      </c>
      <c r="G87" s="16">
        <v>8.2412690000000007E-3</v>
      </c>
      <c r="H87" s="14">
        <v>6</v>
      </c>
      <c r="I87" s="16">
        <v>0.86932773099999905</v>
      </c>
      <c r="J87" s="15">
        <v>0</v>
      </c>
      <c r="K87" s="15">
        <v>1</v>
      </c>
      <c r="L87" s="15">
        <v>1</v>
      </c>
      <c r="M87" s="14">
        <v>0</v>
      </c>
      <c r="N87" s="14">
        <v>0</v>
      </c>
      <c r="O87" s="25">
        <v>0</v>
      </c>
      <c r="P87" s="25">
        <v>0.3</v>
      </c>
      <c r="Q87" s="25">
        <v>0</v>
      </c>
      <c r="R87" s="25">
        <v>0</v>
      </c>
      <c r="S87" s="25">
        <v>0</v>
      </c>
    </row>
    <row r="88" spans="1:19">
      <c r="A88" s="14">
        <v>9</v>
      </c>
      <c r="B88" s="17" t="s">
        <v>53</v>
      </c>
      <c r="C88" s="17" t="s">
        <v>12</v>
      </c>
      <c r="D88" s="17" t="s">
        <v>7</v>
      </c>
      <c r="E88" s="14">
        <v>4</v>
      </c>
      <c r="F88" s="14">
        <v>5</v>
      </c>
      <c r="G88" s="16">
        <v>2.622292E-3</v>
      </c>
      <c r="H88" s="14">
        <v>7</v>
      </c>
      <c r="I88" s="16">
        <v>0.84747899199999999</v>
      </c>
      <c r="J88" s="15">
        <v>1</v>
      </c>
      <c r="K88" s="15">
        <v>0</v>
      </c>
      <c r="L88" s="15">
        <v>1</v>
      </c>
      <c r="M88" s="14">
        <v>0</v>
      </c>
      <c r="N88" s="14">
        <v>1</v>
      </c>
      <c r="O88" s="25">
        <v>2.5</v>
      </c>
      <c r="P88" s="25">
        <v>0</v>
      </c>
      <c r="Q88" s="25">
        <v>0</v>
      </c>
      <c r="R88" s="25">
        <v>0</v>
      </c>
      <c r="S88" s="25">
        <v>3.3333333333333299</v>
      </c>
    </row>
    <row r="89" spans="1:19">
      <c r="A89" s="14">
        <v>8</v>
      </c>
      <c r="B89" s="17" t="s">
        <v>52</v>
      </c>
      <c r="C89" s="17" t="s">
        <v>36</v>
      </c>
      <c r="D89" s="17" t="s">
        <v>7</v>
      </c>
      <c r="E89" s="14">
        <v>5</v>
      </c>
      <c r="F89" s="14">
        <v>9</v>
      </c>
      <c r="G89" s="16">
        <v>1.8104274E-2</v>
      </c>
      <c r="H89" s="14">
        <v>7</v>
      </c>
      <c r="I89" s="16">
        <v>0.86302520999999999</v>
      </c>
      <c r="J89" s="15">
        <v>0</v>
      </c>
      <c r="K89" s="15">
        <v>1</v>
      </c>
      <c r="L89" s="15">
        <v>0</v>
      </c>
      <c r="M89" s="14">
        <v>0</v>
      </c>
      <c r="N89" s="14">
        <v>0</v>
      </c>
      <c r="O89" s="25">
        <v>0</v>
      </c>
      <c r="P89" s="25">
        <v>9</v>
      </c>
      <c r="Q89" s="25">
        <v>0</v>
      </c>
      <c r="R89" s="25">
        <v>0</v>
      </c>
      <c r="S89" s="25">
        <v>0</v>
      </c>
    </row>
    <row r="90" spans="1:19">
      <c r="A90" s="14">
        <v>86</v>
      </c>
      <c r="B90" s="17" t="s">
        <v>51</v>
      </c>
      <c r="C90" s="17" t="s">
        <v>14</v>
      </c>
      <c r="D90" s="17" t="s">
        <v>7</v>
      </c>
      <c r="E90" s="14">
        <v>5</v>
      </c>
      <c r="F90" s="14">
        <v>1</v>
      </c>
      <c r="G90" s="16">
        <v>0</v>
      </c>
      <c r="H90" s="14">
        <v>8</v>
      </c>
      <c r="I90" s="16">
        <v>0.82310924399999996</v>
      </c>
      <c r="J90" s="15">
        <v>1</v>
      </c>
      <c r="K90" s="15">
        <v>1</v>
      </c>
      <c r="L90" s="15">
        <v>1</v>
      </c>
      <c r="M90" s="14">
        <v>1</v>
      </c>
      <c r="N90" s="14">
        <v>1</v>
      </c>
      <c r="O90" s="25">
        <v>0.16666666999999999</v>
      </c>
      <c r="P90" s="25">
        <v>0</v>
      </c>
      <c r="Q90" s="25">
        <v>0</v>
      </c>
      <c r="R90" s="25">
        <v>0</v>
      </c>
      <c r="S90" s="25">
        <v>0.25</v>
      </c>
    </row>
    <row r="91" spans="1:19">
      <c r="A91" s="14">
        <v>146</v>
      </c>
      <c r="B91" s="17" t="s">
        <v>50</v>
      </c>
      <c r="C91" s="17" t="s">
        <v>12</v>
      </c>
      <c r="D91" s="17" t="s">
        <v>7</v>
      </c>
      <c r="E91" s="14">
        <v>0</v>
      </c>
      <c r="F91" s="14">
        <v>4</v>
      </c>
      <c r="G91" s="16">
        <v>9.5E-4</v>
      </c>
      <c r="H91" s="14">
        <v>6</v>
      </c>
      <c r="I91" s="16">
        <v>0.874789915999999</v>
      </c>
      <c r="J91" s="15">
        <v>0</v>
      </c>
      <c r="K91" s="15">
        <v>1</v>
      </c>
      <c r="L91" s="15">
        <v>0</v>
      </c>
      <c r="M91" s="14">
        <v>0</v>
      </c>
      <c r="N91" s="14">
        <v>0</v>
      </c>
      <c r="O91" s="25">
        <v>0</v>
      </c>
      <c r="P91" s="25">
        <v>0</v>
      </c>
      <c r="Q91" s="25">
        <v>0</v>
      </c>
      <c r="R91" s="25">
        <v>0</v>
      </c>
      <c r="S91" s="25">
        <v>0</v>
      </c>
    </row>
    <row r="92" spans="1:19">
      <c r="A92" s="14">
        <v>112</v>
      </c>
      <c r="B92" s="17" t="s">
        <v>49</v>
      </c>
      <c r="C92" s="17" t="s">
        <v>12</v>
      </c>
      <c r="D92" s="17" t="s">
        <v>7</v>
      </c>
      <c r="E92" s="14">
        <v>2</v>
      </c>
      <c r="F92" s="14">
        <v>10</v>
      </c>
      <c r="G92" s="16">
        <v>6.1074418999999998E-2</v>
      </c>
      <c r="H92" s="14">
        <v>7</v>
      </c>
      <c r="I92" s="16">
        <v>0.85462184900000004</v>
      </c>
      <c r="J92" s="15">
        <v>0</v>
      </c>
      <c r="K92" s="15">
        <v>1</v>
      </c>
      <c r="L92" s="15">
        <v>1</v>
      </c>
      <c r="M92" s="14">
        <v>0</v>
      </c>
      <c r="N92" s="14">
        <v>0</v>
      </c>
      <c r="O92" s="25">
        <v>0</v>
      </c>
      <c r="P92" s="25">
        <v>2.5</v>
      </c>
      <c r="Q92" s="25">
        <v>3.3333333299999999</v>
      </c>
      <c r="R92" s="25">
        <v>0</v>
      </c>
      <c r="S92" s="25">
        <v>0</v>
      </c>
    </row>
    <row r="93" spans="1:19">
      <c r="A93" s="14">
        <v>218</v>
      </c>
      <c r="B93" s="17" t="s">
        <v>48</v>
      </c>
      <c r="C93" s="17" t="s">
        <v>12</v>
      </c>
      <c r="D93" s="17" t="s">
        <v>7</v>
      </c>
      <c r="E93" s="14">
        <v>4</v>
      </c>
      <c r="F93" s="14">
        <v>7</v>
      </c>
      <c r="G93" s="16">
        <v>1.5803615E-2</v>
      </c>
      <c r="H93" s="14">
        <v>6</v>
      </c>
      <c r="I93" s="16">
        <v>0.86806722700000005</v>
      </c>
      <c r="J93" s="15">
        <v>1</v>
      </c>
      <c r="K93" s="15">
        <v>1</v>
      </c>
      <c r="L93" s="15">
        <v>1</v>
      </c>
      <c r="M93" s="14">
        <v>0</v>
      </c>
      <c r="N93" s="14">
        <v>1</v>
      </c>
      <c r="O93" s="25">
        <v>8.75</v>
      </c>
      <c r="P93" s="25">
        <v>2</v>
      </c>
      <c r="Q93" s="25">
        <v>0.875</v>
      </c>
      <c r="R93" s="25">
        <v>0</v>
      </c>
      <c r="S93" s="25">
        <v>8.75</v>
      </c>
    </row>
    <row r="94" spans="1:19">
      <c r="A94" s="14">
        <v>138</v>
      </c>
      <c r="B94" s="17" t="s">
        <v>47</v>
      </c>
      <c r="C94" s="17" t="s">
        <v>18</v>
      </c>
      <c r="D94" s="17" t="s">
        <v>7</v>
      </c>
      <c r="E94" s="14">
        <v>8</v>
      </c>
      <c r="F94" s="14">
        <v>2</v>
      </c>
      <c r="G94" s="16">
        <v>3.6326701000000003E-2</v>
      </c>
      <c r="H94" s="14">
        <v>7</v>
      </c>
      <c r="I94" s="16">
        <v>0.83991596599999996</v>
      </c>
      <c r="J94" s="15">
        <v>1</v>
      </c>
      <c r="K94" s="15">
        <v>1</v>
      </c>
      <c r="L94" s="15">
        <v>1</v>
      </c>
      <c r="M94" s="14">
        <v>1</v>
      </c>
      <c r="N94" s="14">
        <v>0</v>
      </c>
      <c r="O94" s="25">
        <v>0</v>
      </c>
      <c r="P94" s="25">
        <v>0</v>
      </c>
      <c r="Q94" s="25">
        <v>0</v>
      </c>
      <c r="R94" s="25">
        <v>0</v>
      </c>
      <c r="S94" s="25">
        <v>0</v>
      </c>
    </row>
    <row r="95" spans="1:19">
      <c r="A95" s="14">
        <v>130</v>
      </c>
      <c r="B95" s="17" t="s">
        <v>46</v>
      </c>
      <c r="C95" s="17" t="s">
        <v>12</v>
      </c>
      <c r="D95" s="17" t="s">
        <v>7</v>
      </c>
      <c r="E95" s="14">
        <v>3</v>
      </c>
      <c r="F95" s="14">
        <v>2</v>
      </c>
      <c r="G95" s="16">
        <v>2.0876332000000001E-2</v>
      </c>
      <c r="H95" s="14">
        <v>7</v>
      </c>
      <c r="I95" s="16">
        <v>0.85462184900000004</v>
      </c>
      <c r="J95" s="15">
        <v>0</v>
      </c>
      <c r="K95" s="15">
        <v>1</v>
      </c>
      <c r="L95" s="15">
        <v>0</v>
      </c>
      <c r="M95" s="14">
        <v>0</v>
      </c>
      <c r="N95" s="14">
        <v>0</v>
      </c>
      <c r="O95" s="25">
        <v>0</v>
      </c>
      <c r="P95" s="25">
        <v>0</v>
      </c>
      <c r="Q95" s="25">
        <v>0</v>
      </c>
      <c r="R95" s="25">
        <v>0</v>
      </c>
      <c r="S95" s="25">
        <v>0</v>
      </c>
    </row>
    <row r="96" spans="1:19">
      <c r="A96" s="14">
        <v>180</v>
      </c>
      <c r="B96" s="17" t="s">
        <v>45</v>
      </c>
      <c r="C96" s="17" t="s">
        <v>12</v>
      </c>
      <c r="D96" s="17" t="s">
        <v>7</v>
      </c>
      <c r="E96" s="14">
        <v>0</v>
      </c>
      <c r="F96" s="14">
        <v>13</v>
      </c>
      <c r="G96" s="16">
        <v>4.2246665999999898E-2</v>
      </c>
      <c r="H96" s="14">
        <v>5</v>
      </c>
      <c r="I96" s="16">
        <v>0.90294117599999901</v>
      </c>
      <c r="J96" s="15">
        <v>0</v>
      </c>
      <c r="K96" s="15">
        <v>0</v>
      </c>
      <c r="L96" s="15">
        <v>0</v>
      </c>
      <c r="M96" s="14">
        <v>0</v>
      </c>
      <c r="N96" s="14">
        <v>0</v>
      </c>
      <c r="O96" s="25">
        <v>0</v>
      </c>
      <c r="P96" s="25">
        <v>0</v>
      </c>
      <c r="Q96" s="25">
        <v>0</v>
      </c>
      <c r="R96" s="25">
        <v>0</v>
      </c>
      <c r="S96" s="25">
        <v>0</v>
      </c>
    </row>
    <row r="97" spans="1:19">
      <c r="A97" s="14">
        <v>241</v>
      </c>
      <c r="B97" s="17" t="s">
        <v>44</v>
      </c>
      <c r="C97" s="17" t="s">
        <v>12</v>
      </c>
      <c r="D97" s="17" t="s">
        <v>7</v>
      </c>
      <c r="E97" s="14">
        <v>0</v>
      </c>
      <c r="F97" s="14">
        <v>5</v>
      </c>
      <c r="G97" s="16">
        <v>3.8099999999999999E-4</v>
      </c>
      <c r="H97" s="14">
        <v>6</v>
      </c>
      <c r="I97" s="16">
        <v>0.874369748</v>
      </c>
      <c r="J97" s="15">
        <v>1</v>
      </c>
      <c r="K97" s="15">
        <v>1</v>
      </c>
      <c r="L97" s="15">
        <v>1</v>
      </c>
      <c r="M97" s="14">
        <v>0</v>
      </c>
      <c r="N97" s="14">
        <v>0</v>
      </c>
      <c r="O97" s="25">
        <v>3.75</v>
      </c>
      <c r="P97" s="25">
        <v>4</v>
      </c>
      <c r="Q97" s="25">
        <v>3</v>
      </c>
      <c r="R97" s="25">
        <v>0</v>
      </c>
      <c r="S97" s="25">
        <v>0</v>
      </c>
    </row>
    <row r="98" spans="1:19">
      <c r="A98" s="14">
        <v>41</v>
      </c>
      <c r="B98" s="17" t="s">
        <v>43</v>
      </c>
      <c r="C98" s="17" t="s">
        <v>42</v>
      </c>
      <c r="D98" s="17" t="s">
        <v>7</v>
      </c>
      <c r="E98" s="14">
        <v>0</v>
      </c>
      <c r="F98" s="14">
        <v>17</v>
      </c>
      <c r="G98" s="16">
        <v>7.0415827E-2</v>
      </c>
      <c r="H98" s="14">
        <v>6</v>
      </c>
      <c r="I98" s="16">
        <v>0.89915966400000003</v>
      </c>
      <c r="J98" s="15">
        <v>0</v>
      </c>
      <c r="K98" s="15">
        <v>0</v>
      </c>
      <c r="L98" s="15">
        <v>0</v>
      </c>
      <c r="M98" s="14">
        <v>0</v>
      </c>
      <c r="N98" s="14">
        <v>0</v>
      </c>
      <c r="O98" s="25">
        <v>0</v>
      </c>
      <c r="P98" s="25">
        <v>0</v>
      </c>
      <c r="Q98" s="25">
        <v>0</v>
      </c>
      <c r="R98" s="25">
        <v>0</v>
      </c>
      <c r="S98" s="25">
        <v>0</v>
      </c>
    </row>
    <row r="99" spans="1:19">
      <c r="A99" s="14">
        <v>20</v>
      </c>
      <c r="B99" s="17" t="s">
        <v>41</v>
      </c>
      <c r="C99" s="17" t="s">
        <v>18</v>
      </c>
      <c r="D99" s="17" t="s">
        <v>7</v>
      </c>
      <c r="E99" s="14">
        <v>4</v>
      </c>
      <c r="F99" s="14">
        <v>5</v>
      </c>
      <c r="G99" s="16">
        <v>7.2402539000000002E-2</v>
      </c>
      <c r="H99" s="14">
        <v>6</v>
      </c>
      <c r="I99" s="16">
        <v>0.88067226899999995</v>
      </c>
      <c r="J99" s="15">
        <v>1</v>
      </c>
      <c r="K99" s="15">
        <v>1</v>
      </c>
      <c r="L99" s="15">
        <v>1</v>
      </c>
      <c r="M99" s="14">
        <v>1</v>
      </c>
      <c r="N99" s="14">
        <v>0</v>
      </c>
      <c r="O99" s="25">
        <v>0.625</v>
      </c>
      <c r="P99" s="25">
        <v>1.25</v>
      </c>
      <c r="Q99" s="25">
        <v>0</v>
      </c>
      <c r="R99" s="25">
        <v>2</v>
      </c>
      <c r="S99" s="25">
        <v>0</v>
      </c>
    </row>
    <row r="100" spans="1:19">
      <c r="A100" s="14">
        <v>157</v>
      </c>
      <c r="B100" s="17" t="s">
        <v>40</v>
      </c>
      <c r="C100" s="17" t="s">
        <v>39</v>
      </c>
      <c r="D100" s="17" t="s">
        <v>7</v>
      </c>
      <c r="E100" s="14">
        <v>4</v>
      </c>
      <c r="F100" s="14">
        <v>4</v>
      </c>
      <c r="G100" s="16">
        <v>1.3799999999999999E-4</v>
      </c>
      <c r="H100" s="14">
        <v>8</v>
      </c>
      <c r="I100" s="16">
        <v>0.81596638700000002</v>
      </c>
      <c r="J100" s="15">
        <v>0</v>
      </c>
      <c r="K100" s="15">
        <v>0</v>
      </c>
      <c r="L100" s="15">
        <v>0</v>
      </c>
      <c r="M100" s="14">
        <v>0</v>
      </c>
      <c r="N100" s="14">
        <v>0</v>
      </c>
      <c r="O100" s="25">
        <v>0</v>
      </c>
      <c r="P100" s="25">
        <v>0</v>
      </c>
      <c r="Q100" s="25">
        <v>0</v>
      </c>
      <c r="R100" s="25">
        <v>0</v>
      </c>
      <c r="S100" s="25">
        <v>0</v>
      </c>
    </row>
    <row r="101" spans="1:19">
      <c r="A101" s="14">
        <v>100</v>
      </c>
      <c r="B101" s="17" t="s">
        <v>38</v>
      </c>
      <c r="C101" s="17" t="s">
        <v>26</v>
      </c>
      <c r="D101" s="17" t="s">
        <v>7</v>
      </c>
      <c r="E101" s="14">
        <v>5</v>
      </c>
      <c r="F101" s="14">
        <v>10</v>
      </c>
      <c r="G101" s="16">
        <v>4.4544532999999997E-2</v>
      </c>
      <c r="H101" s="14">
        <v>7</v>
      </c>
      <c r="I101" s="16">
        <v>0.87268907599999901</v>
      </c>
      <c r="J101" s="15">
        <v>0</v>
      </c>
      <c r="K101" s="15">
        <v>1</v>
      </c>
      <c r="L101" s="15">
        <v>1</v>
      </c>
      <c r="M101" s="14">
        <v>1</v>
      </c>
      <c r="N101" s="14">
        <v>0</v>
      </c>
      <c r="O101" s="25">
        <v>0</v>
      </c>
      <c r="P101" s="25">
        <v>3.3333333299999999</v>
      </c>
      <c r="Q101" s="25">
        <v>3.3333333299999999</v>
      </c>
      <c r="R101" s="25">
        <v>12.5</v>
      </c>
      <c r="S101" s="25">
        <v>0</v>
      </c>
    </row>
    <row r="102" spans="1:19">
      <c r="A102" s="14">
        <v>24</v>
      </c>
      <c r="B102" s="17" t="s">
        <v>37</v>
      </c>
      <c r="C102" s="17" t="s">
        <v>36</v>
      </c>
      <c r="D102" s="17" t="s">
        <v>7</v>
      </c>
      <c r="E102" s="14">
        <v>1</v>
      </c>
      <c r="F102" s="14">
        <v>9</v>
      </c>
      <c r="G102" s="16">
        <v>2.2334375E-2</v>
      </c>
      <c r="H102" s="14">
        <v>8</v>
      </c>
      <c r="I102" s="16">
        <v>0.860504202</v>
      </c>
      <c r="J102" s="15">
        <v>0</v>
      </c>
      <c r="K102" s="15">
        <v>1</v>
      </c>
      <c r="L102" s="15">
        <v>0</v>
      </c>
      <c r="M102" s="14">
        <v>0</v>
      </c>
      <c r="N102" s="14">
        <v>0</v>
      </c>
      <c r="O102" s="25">
        <v>0</v>
      </c>
      <c r="P102" s="25">
        <v>3</v>
      </c>
      <c r="Q102" s="25">
        <v>0</v>
      </c>
      <c r="R102" s="25">
        <v>0</v>
      </c>
      <c r="S102" s="25">
        <v>0</v>
      </c>
    </row>
    <row r="103" spans="1:19">
      <c r="A103" s="14">
        <v>184</v>
      </c>
      <c r="B103" s="17" t="s">
        <v>35</v>
      </c>
      <c r="C103" s="17" t="s">
        <v>12</v>
      </c>
      <c r="D103" s="17" t="s">
        <v>7</v>
      </c>
      <c r="E103" s="14">
        <v>7</v>
      </c>
      <c r="F103" s="14">
        <v>5</v>
      </c>
      <c r="G103" s="16">
        <v>7.3397869000000004E-2</v>
      </c>
      <c r="H103" s="14">
        <v>8</v>
      </c>
      <c r="I103" s="16">
        <v>0.81302521000000005</v>
      </c>
      <c r="J103" s="15">
        <v>1</v>
      </c>
      <c r="K103" s="15">
        <v>1</v>
      </c>
      <c r="L103" s="15">
        <v>1</v>
      </c>
      <c r="M103" s="14">
        <v>0</v>
      </c>
      <c r="N103" s="14">
        <v>1</v>
      </c>
      <c r="O103" s="25">
        <v>15</v>
      </c>
      <c r="P103" s="25">
        <v>0</v>
      </c>
      <c r="Q103" s="25">
        <v>2.5</v>
      </c>
      <c r="R103" s="25">
        <v>0</v>
      </c>
      <c r="S103" s="25">
        <v>7.5</v>
      </c>
    </row>
    <row r="104" spans="1:19">
      <c r="A104" s="14">
        <v>101</v>
      </c>
      <c r="B104" s="17" t="s">
        <v>34</v>
      </c>
      <c r="C104" s="17" t="s">
        <v>18</v>
      </c>
      <c r="D104" s="17" t="s">
        <v>7</v>
      </c>
      <c r="E104" s="14">
        <v>4</v>
      </c>
      <c r="F104" s="14">
        <v>7</v>
      </c>
      <c r="G104" s="16">
        <v>5.8309019999999998E-3</v>
      </c>
      <c r="H104" s="14">
        <v>7</v>
      </c>
      <c r="I104" s="16">
        <v>0.84957983199999998</v>
      </c>
      <c r="J104" s="15">
        <v>1</v>
      </c>
      <c r="K104" s="15">
        <v>1</v>
      </c>
      <c r="L104" s="15">
        <v>1</v>
      </c>
      <c r="M104" s="14">
        <v>1</v>
      </c>
      <c r="N104" s="14">
        <v>0</v>
      </c>
      <c r="O104" s="25">
        <v>10.5</v>
      </c>
      <c r="P104" s="25">
        <v>5.25</v>
      </c>
      <c r="Q104" s="25">
        <v>1.4</v>
      </c>
      <c r="R104" s="25">
        <v>17.5</v>
      </c>
      <c r="S104" s="25">
        <v>0</v>
      </c>
    </row>
    <row r="105" spans="1:19">
      <c r="A105" s="14">
        <v>60</v>
      </c>
      <c r="B105" s="17" t="s">
        <v>33</v>
      </c>
      <c r="C105" s="17" t="s">
        <v>12</v>
      </c>
      <c r="D105" s="17" t="s">
        <v>32</v>
      </c>
      <c r="E105" s="14">
        <v>7</v>
      </c>
      <c r="F105" s="14">
        <v>2</v>
      </c>
      <c r="G105" s="16">
        <v>0</v>
      </c>
      <c r="H105" s="14">
        <v>9</v>
      </c>
      <c r="I105" s="16">
        <v>0.76386554599999901</v>
      </c>
      <c r="J105" s="15">
        <v>1</v>
      </c>
      <c r="K105" s="15">
        <v>1</v>
      </c>
      <c r="L105" s="15">
        <v>1</v>
      </c>
      <c r="M105" s="14">
        <v>0</v>
      </c>
      <c r="N105" s="14">
        <v>0</v>
      </c>
      <c r="O105" s="25">
        <v>0</v>
      </c>
      <c r="P105" s="25">
        <v>0</v>
      </c>
      <c r="Q105" s="25">
        <v>0</v>
      </c>
      <c r="R105" s="25">
        <v>0</v>
      </c>
      <c r="S105" s="25">
        <v>0</v>
      </c>
    </row>
    <row r="106" spans="1:19">
      <c r="A106" s="14">
        <v>168</v>
      </c>
      <c r="B106" s="17" t="s">
        <v>31</v>
      </c>
      <c r="C106" s="17" t="s">
        <v>14</v>
      </c>
      <c r="D106" s="17" t="s">
        <v>7</v>
      </c>
      <c r="E106" s="14">
        <v>4</v>
      </c>
      <c r="F106" s="14">
        <v>6</v>
      </c>
      <c r="G106" s="16">
        <v>3.9817992000000003E-2</v>
      </c>
      <c r="H106" s="14">
        <v>7</v>
      </c>
      <c r="I106" s="16">
        <v>0.86302520999999999</v>
      </c>
      <c r="J106" s="15">
        <v>0</v>
      </c>
      <c r="K106" s="15">
        <v>0</v>
      </c>
      <c r="L106" s="15">
        <v>1</v>
      </c>
      <c r="M106" s="14">
        <v>0</v>
      </c>
      <c r="N106" s="14">
        <v>1</v>
      </c>
      <c r="O106" s="25">
        <v>0</v>
      </c>
      <c r="P106" s="25">
        <v>0</v>
      </c>
      <c r="Q106" s="25">
        <v>6</v>
      </c>
      <c r="R106" s="25">
        <v>0</v>
      </c>
      <c r="S106" s="25">
        <v>9</v>
      </c>
    </row>
    <row r="107" spans="1:19">
      <c r="A107" s="14">
        <v>89</v>
      </c>
      <c r="B107" s="17" t="s">
        <v>30</v>
      </c>
      <c r="C107" s="17" t="s">
        <v>12</v>
      </c>
      <c r="D107" s="17" t="s">
        <v>7</v>
      </c>
      <c r="E107" s="14">
        <v>4</v>
      </c>
      <c r="F107" s="14">
        <v>4</v>
      </c>
      <c r="G107" s="16">
        <v>6.3943649000000005E-2</v>
      </c>
      <c r="H107" s="14">
        <v>7</v>
      </c>
      <c r="I107" s="16">
        <v>0.83613445399999997</v>
      </c>
      <c r="J107" s="15">
        <v>0</v>
      </c>
      <c r="K107" s="15">
        <v>1</v>
      </c>
      <c r="L107" s="15">
        <v>1</v>
      </c>
      <c r="M107" s="14">
        <v>0</v>
      </c>
      <c r="N107" s="14">
        <v>1</v>
      </c>
      <c r="O107" s="25">
        <v>0</v>
      </c>
      <c r="P107" s="25">
        <v>0.8</v>
      </c>
      <c r="Q107" s="25">
        <v>1</v>
      </c>
      <c r="R107" s="25">
        <v>0</v>
      </c>
      <c r="S107" s="25">
        <v>4</v>
      </c>
    </row>
    <row r="108" spans="1:19">
      <c r="A108" s="14">
        <v>209</v>
      </c>
      <c r="B108" s="17" t="s">
        <v>29</v>
      </c>
      <c r="C108" s="17" t="s">
        <v>12</v>
      </c>
      <c r="D108" s="17" t="s">
        <v>7</v>
      </c>
      <c r="E108" s="14">
        <v>4</v>
      </c>
      <c r="F108" s="14">
        <v>7</v>
      </c>
      <c r="G108" s="16">
        <v>6.0040559999999998E-3</v>
      </c>
      <c r="H108" s="14">
        <v>7</v>
      </c>
      <c r="I108" s="16">
        <v>0.84915966399999998</v>
      </c>
      <c r="J108" s="15">
        <v>0</v>
      </c>
      <c r="K108" s="15">
        <v>1</v>
      </c>
      <c r="L108" s="15">
        <v>1</v>
      </c>
      <c r="M108" s="14">
        <v>1</v>
      </c>
      <c r="N108" s="14">
        <v>1</v>
      </c>
      <c r="O108" s="25">
        <v>0</v>
      </c>
      <c r="P108" s="25">
        <v>4</v>
      </c>
      <c r="Q108" s="25">
        <v>1.75</v>
      </c>
      <c r="R108" s="25">
        <v>17.5</v>
      </c>
      <c r="S108" s="25">
        <v>7</v>
      </c>
    </row>
    <row r="109" spans="1:19">
      <c r="A109" s="14">
        <v>88</v>
      </c>
      <c r="B109" s="17" t="s">
        <v>28</v>
      </c>
      <c r="C109" s="17" t="s">
        <v>26</v>
      </c>
      <c r="D109" s="17" t="s">
        <v>7</v>
      </c>
      <c r="E109" s="14">
        <v>2</v>
      </c>
      <c r="F109" s="14">
        <v>12</v>
      </c>
      <c r="G109" s="16">
        <v>4.6941538999999997E-2</v>
      </c>
      <c r="H109" s="14">
        <v>7</v>
      </c>
      <c r="I109" s="16">
        <v>0.84831932799999998</v>
      </c>
      <c r="J109" s="15">
        <v>0</v>
      </c>
      <c r="K109" s="15">
        <v>1</v>
      </c>
      <c r="L109" s="15">
        <v>1</v>
      </c>
      <c r="M109" s="14">
        <v>1</v>
      </c>
      <c r="N109" s="14">
        <v>0</v>
      </c>
      <c r="O109" s="25">
        <v>0</v>
      </c>
      <c r="P109" s="25">
        <v>1.5</v>
      </c>
      <c r="Q109" s="25">
        <v>1.71428571</v>
      </c>
      <c r="R109" s="25">
        <v>14.4</v>
      </c>
      <c r="S109" s="25">
        <v>0</v>
      </c>
    </row>
    <row r="110" spans="1:19">
      <c r="A110" s="14">
        <v>74</v>
      </c>
      <c r="B110" s="17" t="s">
        <v>27</v>
      </c>
      <c r="C110" s="17" t="s">
        <v>26</v>
      </c>
      <c r="D110" s="17" t="s">
        <v>7</v>
      </c>
      <c r="E110" s="14">
        <v>2</v>
      </c>
      <c r="F110" s="14">
        <v>4</v>
      </c>
      <c r="G110" s="16">
        <v>1.6806722999999999E-2</v>
      </c>
      <c r="H110" s="14">
        <v>8</v>
      </c>
      <c r="I110" s="16">
        <v>0.80126050400000004</v>
      </c>
      <c r="J110" s="15">
        <v>1</v>
      </c>
      <c r="K110" s="15">
        <v>1</v>
      </c>
      <c r="L110" s="15">
        <v>1</v>
      </c>
      <c r="M110" s="14">
        <v>1</v>
      </c>
      <c r="N110" s="14">
        <v>0</v>
      </c>
      <c r="O110" s="25">
        <v>8</v>
      </c>
      <c r="P110" s="25">
        <v>0</v>
      </c>
      <c r="Q110" s="25">
        <v>0</v>
      </c>
      <c r="R110" s="25">
        <v>4</v>
      </c>
      <c r="S110" s="25">
        <v>0</v>
      </c>
    </row>
    <row r="111" spans="1:19">
      <c r="A111" s="14">
        <v>117</v>
      </c>
      <c r="B111" s="17" t="s">
        <v>25</v>
      </c>
      <c r="C111" s="17" t="s">
        <v>12</v>
      </c>
      <c r="D111" s="17" t="s">
        <v>11</v>
      </c>
      <c r="E111" s="14">
        <v>4</v>
      </c>
      <c r="F111" s="14">
        <v>6</v>
      </c>
      <c r="G111" s="16">
        <v>1.6382318999999999E-2</v>
      </c>
      <c r="H111" s="14">
        <v>7</v>
      </c>
      <c r="I111" s="16">
        <v>0.84033613399999996</v>
      </c>
      <c r="J111" s="15">
        <v>1</v>
      </c>
      <c r="K111" s="15">
        <v>1</v>
      </c>
      <c r="L111" s="15">
        <v>1</v>
      </c>
      <c r="M111" s="14">
        <v>0</v>
      </c>
      <c r="N111" s="14">
        <v>0</v>
      </c>
      <c r="O111" s="25">
        <v>4.5</v>
      </c>
      <c r="P111" s="25">
        <v>4</v>
      </c>
      <c r="Q111" s="25">
        <v>1.5</v>
      </c>
      <c r="R111" s="25">
        <v>0</v>
      </c>
      <c r="S111" s="25">
        <v>0</v>
      </c>
    </row>
    <row r="112" spans="1:19">
      <c r="A112" s="14">
        <v>233</v>
      </c>
      <c r="B112" s="17" t="s">
        <v>24</v>
      </c>
      <c r="C112" s="17" t="s">
        <v>12</v>
      </c>
      <c r="D112" s="17" t="s">
        <v>11</v>
      </c>
      <c r="E112" s="14">
        <v>0</v>
      </c>
      <c r="F112" s="14">
        <v>15</v>
      </c>
      <c r="G112" s="16">
        <v>6.7747657000000003E-2</v>
      </c>
      <c r="H112" s="14">
        <v>5</v>
      </c>
      <c r="I112" s="16">
        <v>0.90210084000000001</v>
      </c>
      <c r="J112" s="15">
        <v>1</v>
      </c>
      <c r="K112" s="15">
        <v>1</v>
      </c>
      <c r="L112" s="15">
        <v>1</v>
      </c>
      <c r="M112" s="14">
        <v>0</v>
      </c>
      <c r="N112" s="14">
        <v>1</v>
      </c>
      <c r="O112" s="25">
        <v>40</v>
      </c>
      <c r="P112" s="25">
        <v>35</v>
      </c>
      <c r="Q112" s="25">
        <v>15</v>
      </c>
      <c r="R112" s="25">
        <v>0</v>
      </c>
      <c r="S112" s="25">
        <v>50</v>
      </c>
    </row>
    <row r="113" spans="1:19">
      <c r="A113" s="14">
        <v>48</v>
      </c>
      <c r="B113" s="17" t="s">
        <v>23</v>
      </c>
      <c r="C113" s="17" t="s">
        <v>18</v>
      </c>
      <c r="D113" s="17" t="s">
        <v>11</v>
      </c>
      <c r="E113" s="14">
        <v>0</v>
      </c>
      <c r="F113" s="14">
        <v>20</v>
      </c>
      <c r="G113" s="16">
        <v>7.0196963000000001E-2</v>
      </c>
      <c r="H113" s="14">
        <v>6</v>
      </c>
      <c r="I113" s="16">
        <v>0.90168067200000002</v>
      </c>
      <c r="J113" s="15">
        <v>1</v>
      </c>
      <c r="K113" s="15">
        <v>1</v>
      </c>
      <c r="L113" s="15">
        <v>1</v>
      </c>
      <c r="M113" s="14">
        <v>1</v>
      </c>
      <c r="N113" s="14">
        <v>0</v>
      </c>
      <c r="O113" s="25">
        <v>66.666666699999993</v>
      </c>
      <c r="P113" s="25">
        <v>40</v>
      </c>
      <c r="Q113" s="25">
        <v>14.2857143</v>
      </c>
      <c r="R113" s="25">
        <v>75</v>
      </c>
      <c r="S113" s="25">
        <v>0</v>
      </c>
    </row>
    <row r="114" spans="1:19">
      <c r="A114" s="14">
        <v>55</v>
      </c>
      <c r="B114" s="17" t="s">
        <v>22</v>
      </c>
      <c r="C114" s="17" t="s">
        <v>14</v>
      </c>
      <c r="D114" s="17" t="s">
        <v>11</v>
      </c>
      <c r="E114" s="14">
        <v>5</v>
      </c>
      <c r="F114" s="14">
        <v>15</v>
      </c>
      <c r="G114" s="16">
        <v>0.13248346999999999</v>
      </c>
      <c r="H114" s="14">
        <v>6</v>
      </c>
      <c r="I114" s="16">
        <v>0.89159663899999997</v>
      </c>
      <c r="J114" s="15">
        <v>1</v>
      </c>
      <c r="K114" s="15">
        <v>1</v>
      </c>
      <c r="L114" s="15">
        <v>1</v>
      </c>
      <c r="M114" s="14">
        <v>0</v>
      </c>
      <c r="N114" s="14">
        <v>1</v>
      </c>
      <c r="O114" s="25">
        <v>55</v>
      </c>
      <c r="P114" s="25">
        <v>25</v>
      </c>
      <c r="Q114" s="25">
        <v>15</v>
      </c>
      <c r="R114" s="25">
        <v>0</v>
      </c>
      <c r="S114" s="25">
        <v>60</v>
      </c>
    </row>
    <row r="115" spans="1:19">
      <c r="A115" s="14">
        <v>206</v>
      </c>
      <c r="B115" s="17" t="s">
        <v>21</v>
      </c>
      <c r="C115" s="17" t="s">
        <v>12</v>
      </c>
      <c r="D115" s="17" t="s">
        <v>11</v>
      </c>
      <c r="E115" s="14">
        <v>4</v>
      </c>
      <c r="F115" s="14">
        <v>14</v>
      </c>
      <c r="G115" s="16">
        <v>0.126244467</v>
      </c>
      <c r="H115" s="14">
        <v>6</v>
      </c>
      <c r="I115" s="16">
        <v>0.88907563000000001</v>
      </c>
      <c r="J115" s="15">
        <v>0</v>
      </c>
      <c r="K115" s="15">
        <v>1</v>
      </c>
      <c r="L115" s="15">
        <v>1</v>
      </c>
      <c r="M115" s="14">
        <v>0</v>
      </c>
      <c r="N115" s="14">
        <v>0</v>
      </c>
      <c r="O115" s="25">
        <v>0</v>
      </c>
      <c r="P115" s="25">
        <v>10</v>
      </c>
      <c r="Q115" s="25">
        <v>3.5</v>
      </c>
      <c r="R115" s="25">
        <v>0</v>
      </c>
      <c r="S115" s="25">
        <v>0</v>
      </c>
    </row>
    <row r="116" spans="1:19">
      <c r="A116" s="14">
        <v>166</v>
      </c>
      <c r="B116" s="17" t="s">
        <v>20</v>
      </c>
      <c r="C116" s="17" t="s">
        <v>14</v>
      </c>
      <c r="D116" s="17" t="s">
        <v>11</v>
      </c>
      <c r="E116" s="14">
        <v>5</v>
      </c>
      <c r="F116" s="14">
        <v>6</v>
      </c>
      <c r="G116" s="16">
        <v>4.224841E-2</v>
      </c>
      <c r="H116" s="14">
        <v>7</v>
      </c>
      <c r="I116" s="16">
        <v>0.86176470599999999</v>
      </c>
      <c r="J116" s="15">
        <v>1</v>
      </c>
      <c r="K116" s="15">
        <v>1</v>
      </c>
      <c r="L116" s="15">
        <v>1</v>
      </c>
      <c r="M116" s="14">
        <v>1</v>
      </c>
      <c r="N116" s="14">
        <v>1</v>
      </c>
      <c r="O116" s="25">
        <v>24</v>
      </c>
      <c r="P116" s="25">
        <v>1.5</v>
      </c>
      <c r="Q116" s="25">
        <v>2</v>
      </c>
      <c r="R116" s="25">
        <v>24</v>
      </c>
      <c r="S116" s="25">
        <v>30</v>
      </c>
    </row>
    <row r="117" spans="1:19">
      <c r="A117" s="14">
        <v>215</v>
      </c>
      <c r="B117" s="17" t="s">
        <v>19</v>
      </c>
      <c r="C117" s="17" t="s">
        <v>18</v>
      </c>
      <c r="D117" s="17" t="s">
        <v>11</v>
      </c>
      <c r="E117" s="14">
        <v>0</v>
      </c>
      <c r="F117" s="14">
        <v>12</v>
      </c>
      <c r="G117" s="16">
        <v>0.16838167199999901</v>
      </c>
      <c r="H117" s="14">
        <v>6</v>
      </c>
      <c r="I117" s="16">
        <v>0.89915966400000003</v>
      </c>
      <c r="J117" s="15">
        <v>1</v>
      </c>
      <c r="K117" s="15">
        <v>1</v>
      </c>
      <c r="L117" s="15">
        <v>1</v>
      </c>
      <c r="M117" s="14">
        <v>1</v>
      </c>
      <c r="N117" s="14">
        <v>0</v>
      </c>
      <c r="O117" s="25">
        <v>19.2</v>
      </c>
      <c r="P117" s="25">
        <v>10</v>
      </c>
      <c r="Q117" s="25">
        <v>6</v>
      </c>
      <c r="R117" s="25">
        <v>16.8</v>
      </c>
      <c r="S117" s="25">
        <v>0</v>
      </c>
    </row>
    <row r="118" spans="1:19">
      <c r="A118" s="14">
        <v>143</v>
      </c>
      <c r="B118" s="17" t="s">
        <v>17</v>
      </c>
      <c r="C118" s="17" t="s">
        <v>14</v>
      </c>
      <c r="D118" s="17" t="s">
        <v>11</v>
      </c>
      <c r="E118" s="14">
        <v>4</v>
      </c>
      <c r="F118" s="14">
        <v>5</v>
      </c>
      <c r="G118" s="16">
        <v>4.3824293E-2</v>
      </c>
      <c r="H118" s="14">
        <v>7</v>
      </c>
      <c r="I118" s="16">
        <v>0.84747899199999999</v>
      </c>
      <c r="J118" s="15">
        <v>1</v>
      </c>
      <c r="K118" s="15">
        <v>0</v>
      </c>
      <c r="L118" s="15">
        <v>1</v>
      </c>
      <c r="M118" s="14">
        <v>1</v>
      </c>
      <c r="N118" s="14">
        <v>1</v>
      </c>
      <c r="O118" s="25">
        <v>5</v>
      </c>
      <c r="P118" s="25">
        <v>0</v>
      </c>
      <c r="Q118" s="25">
        <v>5</v>
      </c>
      <c r="R118" s="25">
        <v>7.5</v>
      </c>
      <c r="S118" s="25">
        <v>10</v>
      </c>
    </row>
    <row r="119" spans="1:19">
      <c r="A119" s="14">
        <v>50</v>
      </c>
      <c r="B119" s="17" t="s">
        <v>16</v>
      </c>
      <c r="C119" s="17" t="s">
        <v>12</v>
      </c>
      <c r="D119" s="17" t="s">
        <v>11</v>
      </c>
      <c r="E119" s="14">
        <v>4</v>
      </c>
      <c r="F119" s="14">
        <v>11</v>
      </c>
      <c r="G119" s="16">
        <v>7.8229333999999998E-2</v>
      </c>
      <c r="H119" s="14">
        <v>7</v>
      </c>
      <c r="I119" s="16">
        <v>0.860504202</v>
      </c>
      <c r="J119" s="15">
        <v>1</v>
      </c>
      <c r="K119" s="15">
        <v>0</v>
      </c>
      <c r="L119" s="15">
        <v>1</v>
      </c>
      <c r="M119" s="14">
        <v>0</v>
      </c>
      <c r="N119" s="14">
        <v>1</v>
      </c>
      <c r="O119" s="25">
        <v>27.5</v>
      </c>
      <c r="P119" s="25">
        <v>0</v>
      </c>
      <c r="Q119" s="25">
        <v>2.2000000000000002</v>
      </c>
      <c r="R119" s="25">
        <v>0</v>
      </c>
      <c r="S119" s="25">
        <v>27.5</v>
      </c>
    </row>
    <row r="120" spans="1:19">
      <c r="A120" s="14">
        <v>261</v>
      </c>
      <c r="B120" s="17" t="s">
        <v>15</v>
      </c>
      <c r="C120" s="17" t="s">
        <v>14</v>
      </c>
      <c r="D120" s="17" t="s">
        <v>11</v>
      </c>
      <c r="E120" s="14">
        <v>1</v>
      </c>
      <c r="F120" s="14">
        <v>8</v>
      </c>
      <c r="G120" s="16">
        <v>0.19210418399999901</v>
      </c>
      <c r="H120" s="14">
        <v>7</v>
      </c>
      <c r="I120" s="16">
        <v>0.88151260499999995</v>
      </c>
      <c r="J120" s="15">
        <v>0</v>
      </c>
      <c r="K120" s="15">
        <v>0</v>
      </c>
      <c r="L120" s="15">
        <v>1</v>
      </c>
      <c r="M120" s="14">
        <v>1</v>
      </c>
      <c r="N120" s="14">
        <v>1</v>
      </c>
      <c r="O120" s="25">
        <v>0</v>
      </c>
      <c r="P120" s="25">
        <v>0</v>
      </c>
      <c r="Q120" s="25">
        <v>8</v>
      </c>
      <c r="R120" s="25">
        <v>12</v>
      </c>
      <c r="S120" s="25">
        <v>56</v>
      </c>
    </row>
    <row r="121" spans="1:19">
      <c r="A121" s="14">
        <v>116</v>
      </c>
      <c r="B121" s="17" t="s">
        <v>13</v>
      </c>
      <c r="C121" s="17" t="s">
        <v>12</v>
      </c>
      <c r="D121" s="17" t="s">
        <v>11</v>
      </c>
      <c r="E121" s="14">
        <v>2</v>
      </c>
      <c r="F121" s="14">
        <v>4</v>
      </c>
      <c r="G121" s="16">
        <v>0.12225733</v>
      </c>
      <c r="H121" s="14">
        <v>6</v>
      </c>
      <c r="I121" s="16">
        <v>0.87857142899999996</v>
      </c>
      <c r="J121" s="15">
        <v>1</v>
      </c>
      <c r="K121" s="15">
        <v>0</v>
      </c>
      <c r="L121" s="15">
        <v>1</v>
      </c>
      <c r="M121" s="14">
        <v>0</v>
      </c>
      <c r="N121" s="14">
        <v>0</v>
      </c>
      <c r="O121" s="25">
        <v>1.5</v>
      </c>
      <c r="P121" s="25">
        <v>0</v>
      </c>
      <c r="Q121" s="25">
        <v>0.33333332999999998</v>
      </c>
      <c r="R121" s="25">
        <v>0</v>
      </c>
      <c r="S121" s="25">
        <v>0</v>
      </c>
    </row>
    <row r="122" spans="1:19">
      <c r="A122" s="14">
        <v>136</v>
      </c>
      <c r="B122" s="17" t="s">
        <v>10</v>
      </c>
      <c r="C122" s="17" t="s">
        <v>8</v>
      </c>
      <c r="D122" s="17" t="s">
        <v>7</v>
      </c>
      <c r="E122" s="14">
        <v>1</v>
      </c>
      <c r="F122" s="14">
        <v>4</v>
      </c>
      <c r="G122" s="16">
        <v>6.7799999999999995E-5</v>
      </c>
      <c r="H122" s="14">
        <v>8</v>
      </c>
      <c r="I122" s="16">
        <v>0.83151260500000002</v>
      </c>
      <c r="J122" s="15">
        <v>0</v>
      </c>
      <c r="K122" s="15">
        <v>0</v>
      </c>
      <c r="L122" s="15">
        <v>0</v>
      </c>
      <c r="M122" s="14">
        <v>0</v>
      </c>
      <c r="N122" s="14">
        <v>0</v>
      </c>
      <c r="O122" s="25">
        <v>0</v>
      </c>
      <c r="P122" s="25">
        <v>0</v>
      </c>
      <c r="Q122" s="25">
        <v>0</v>
      </c>
      <c r="R122" s="25">
        <v>0</v>
      </c>
      <c r="S122" s="25">
        <v>0</v>
      </c>
    </row>
    <row r="123" spans="1:19">
      <c r="A123" s="10">
        <v>45</v>
      </c>
      <c r="B123" s="13" t="s">
        <v>9</v>
      </c>
      <c r="C123" s="13" t="s">
        <v>8</v>
      </c>
      <c r="D123" s="13" t="s">
        <v>7</v>
      </c>
      <c r="E123" s="10">
        <v>0</v>
      </c>
      <c r="F123" s="10">
        <v>11</v>
      </c>
      <c r="G123" s="12">
        <v>4.5976920999999997E-2</v>
      </c>
      <c r="H123" s="10">
        <v>6</v>
      </c>
      <c r="I123" s="12">
        <v>0.89789916000000003</v>
      </c>
      <c r="J123" s="11">
        <v>0</v>
      </c>
      <c r="K123" s="11">
        <v>0</v>
      </c>
      <c r="L123" s="11">
        <v>0</v>
      </c>
      <c r="M123" s="10">
        <v>0</v>
      </c>
      <c r="N123" s="10">
        <v>0</v>
      </c>
      <c r="O123" s="26">
        <v>0</v>
      </c>
      <c r="P123" s="26">
        <v>0</v>
      </c>
      <c r="Q123" s="26">
        <v>0</v>
      </c>
      <c r="R123" s="26">
        <v>0</v>
      </c>
      <c r="S123" s="26">
        <v>0</v>
      </c>
    </row>
  </sheetData>
  <mergeCells count="4">
    <mergeCell ref="J2:N2"/>
    <mergeCell ref="E2:I2"/>
    <mergeCell ref="A2:D2"/>
    <mergeCell ref="O2:S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A9BD2-BC55-AF4A-B8CE-72C34B6D6498}">
  <dimension ref="A1:O11"/>
  <sheetViews>
    <sheetView workbookViewId="0">
      <selection sqref="A1:O3"/>
    </sheetView>
  </sheetViews>
  <sheetFormatPr baseColWidth="10" defaultRowHeight="16"/>
  <cols>
    <col min="1" max="1" width="21.6640625" customWidth="1"/>
    <col min="2" max="15" width="4" customWidth="1"/>
  </cols>
  <sheetData>
    <row r="1" spans="1:15" ht="17" customHeight="1">
      <c r="A1" s="80" t="s">
        <v>319</v>
      </c>
      <c r="B1" s="80"/>
      <c r="C1" s="80"/>
      <c r="D1" s="80"/>
      <c r="E1" s="80"/>
      <c r="F1" s="80"/>
      <c r="G1" s="80"/>
      <c r="H1" s="80"/>
      <c r="I1" s="80"/>
      <c r="J1" s="80"/>
      <c r="K1" s="80"/>
      <c r="L1" s="80"/>
      <c r="M1" s="80"/>
      <c r="N1" s="80"/>
      <c r="O1" s="80"/>
    </row>
    <row r="2" spans="1:15" ht="16" customHeight="1">
      <c r="A2" s="80"/>
      <c r="B2" s="80"/>
      <c r="C2" s="80"/>
      <c r="D2" s="80"/>
      <c r="E2" s="80"/>
      <c r="F2" s="80"/>
      <c r="G2" s="80"/>
      <c r="H2" s="80"/>
      <c r="I2" s="80"/>
      <c r="J2" s="80"/>
      <c r="K2" s="80"/>
      <c r="L2" s="80"/>
      <c r="M2" s="80"/>
      <c r="N2" s="80"/>
      <c r="O2" s="80"/>
    </row>
    <row r="3" spans="1:15" ht="17" thickBot="1">
      <c r="A3" s="81"/>
      <c r="B3" s="81"/>
      <c r="C3" s="81"/>
      <c r="D3" s="81"/>
      <c r="E3" s="81"/>
      <c r="F3" s="81"/>
      <c r="G3" s="81"/>
      <c r="H3" s="81"/>
      <c r="I3" s="81"/>
      <c r="J3" s="81"/>
      <c r="K3" s="81"/>
      <c r="L3" s="81"/>
      <c r="M3" s="81"/>
      <c r="N3" s="81"/>
      <c r="O3" s="81"/>
    </row>
    <row r="4" spans="1:15" ht="17" thickBot="1">
      <c r="A4" s="28" t="s">
        <v>160</v>
      </c>
      <c r="B4" s="29">
        <v>1</v>
      </c>
      <c r="C4" s="29">
        <v>2</v>
      </c>
      <c r="D4" s="29">
        <v>3</v>
      </c>
      <c r="E4" s="29">
        <v>4</v>
      </c>
      <c r="F4" s="29">
        <v>5</v>
      </c>
      <c r="G4" s="29">
        <v>6</v>
      </c>
      <c r="H4" s="29">
        <v>7</v>
      </c>
      <c r="I4" s="29">
        <v>8</v>
      </c>
      <c r="J4" s="29">
        <v>9</v>
      </c>
      <c r="K4" s="29">
        <v>10</v>
      </c>
      <c r="L4" s="29">
        <v>11</v>
      </c>
      <c r="M4" s="29">
        <v>12</v>
      </c>
      <c r="N4" s="29">
        <v>13</v>
      </c>
      <c r="O4" s="29">
        <v>14</v>
      </c>
    </row>
    <row r="5" spans="1:15">
      <c r="A5" s="27" t="s">
        <v>162</v>
      </c>
      <c r="B5" s="30"/>
      <c r="C5" s="31" t="s">
        <v>159</v>
      </c>
      <c r="D5" s="30"/>
      <c r="E5" s="30"/>
      <c r="F5" s="30"/>
      <c r="G5" s="30"/>
      <c r="H5" s="32"/>
      <c r="I5" s="44" t="s">
        <v>159</v>
      </c>
      <c r="J5" s="30"/>
      <c r="K5" s="31" t="s">
        <v>159</v>
      </c>
      <c r="L5" s="31" t="s">
        <v>159</v>
      </c>
      <c r="M5" s="31" t="s">
        <v>159</v>
      </c>
      <c r="N5" s="31" t="s">
        <v>159</v>
      </c>
      <c r="O5" s="31" t="s">
        <v>159</v>
      </c>
    </row>
    <row r="6" spans="1:15">
      <c r="A6" s="33" t="s">
        <v>163</v>
      </c>
      <c r="B6" s="34"/>
      <c r="C6" s="34"/>
      <c r="D6" s="35" t="s">
        <v>159</v>
      </c>
      <c r="E6" s="34"/>
      <c r="F6" s="34"/>
      <c r="G6" s="34"/>
      <c r="H6" s="36"/>
      <c r="I6" s="35" t="s">
        <v>159</v>
      </c>
      <c r="J6" s="35" t="s">
        <v>159</v>
      </c>
      <c r="K6" s="34"/>
      <c r="L6" s="35" t="s">
        <v>159</v>
      </c>
      <c r="M6" s="35" t="s">
        <v>159</v>
      </c>
      <c r="N6" s="35" t="s">
        <v>159</v>
      </c>
      <c r="O6" s="35" t="s">
        <v>159</v>
      </c>
    </row>
    <row r="7" spans="1:15">
      <c r="A7" s="33" t="s">
        <v>164</v>
      </c>
      <c r="B7" s="34"/>
      <c r="C7" s="34"/>
      <c r="D7" s="34"/>
      <c r="E7" s="35" t="s">
        <v>159</v>
      </c>
      <c r="F7" s="34"/>
      <c r="G7" s="34"/>
      <c r="H7" s="36"/>
      <c r="I7" s="35" t="s">
        <v>159</v>
      </c>
      <c r="J7" s="35" t="s">
        <v>159</v>
      </c>
      <c r="K7" s="35" t="s">
        <v>159</v>
      </c>
      <c r="L7" s="34"/>
      <c r="M7" s="35" t="s">
        <v>159</v>
      </c>
      <c r="N7" s="35" t="s">
        <v>159</v>
      </c>
      <c r="O7" s="35" t="s">
        <v>159</v>
      </c>
    </row>
    <row r="8" spans="1:15">
      <c r="A8" s="33" t="s">
        <v>146</v>
      </c>
      <c r="B8" s="34"/>
      <c r="C8" s="34"/>
      <c r="D8" s="34"/>
      <c r="E8" s="34"/>
      <c r="F8" s="35" t="s">
        <v>159</v>
      </c>
      <c r="G8" s="34"/>
      <c r="H8" s="36"/>
      <c r="I8" s="35" t="s">
        <v>159</v>
      </c>
      <c r="J8" s="35" t="s">
        <v>159</v>
      </c>
      <c r="K8" s="35" t="s">
        <v>159</v>
      </c>
      <c r="L8" s="35" t="s">
        <v>159</v>
      </c>
      <c r="M8" s="34"/>
      <c r="N8" s="35" t="s">
        <v>159</v>
      </c>
      <c r="O8" s="35" t="s">
        <v>159</v>
      </c>
    </row>
    <row r="9" spans="1:15">
      <c r="A9" s="33" t="s">
        <v>147</v>
      </c>
      <c r="B9" s="34"/>
      <c r="C9" s="34"/>
      <c r="D9" s="34"/>
      <c r="E9" s="34"/>
      <c r="F9" s="34"/>
      <c r="G9" s="35" t="s">
        <v>159</v>
      </c>
      <c r="H9" s="36"/>
      <c r="I9" s="35" t="s">
        <v>159</v>
      </c>
      <c r="J9" s="35" t="s">
        <v>159</v>
      </c>
      <c r="K9" s="35" t="s">
        <v>159</v>
      </c>
      <c r="L9" s="35" t="s">
        <v>159</v>
      </c>
      <c r="M9" s="35" t="s">
        <v>159</v>
      </c>
      <c r="N9" s="34"/>
      <c r="O9" s="35" t="s">
        <v>159</v>
      </c>
    </row>
    <row r="10" spans="1:15" ht="17" thickBot="1">
      <c r="A10" s="28" t="s">
        <v>144</v>
      </c>
      <c r="B10" s="37"/>
      <c r="C10" s="37"/>
      <c r="D10" s="37"/>
      <c r="E10" s="37"/>
      <c r="F10" s="37"/>
      <c r="G10" s="37"/>
      <c r="H10" s="38" t="s">
        <v>159</v>
      </c>
      <c r="I10" s="39" t="s">
        <v>159</v>
      </c>
      <c r="J10" s="39" t="s">
        <v>159</v>
      </c>
      <c r="K10" s="39" t="s">
        <v>159</v>
      </c>
      <c r="L10" s="39" t="s">
        <v>159</v>
      </c>
      <c r="M10" s="39" t="s">
        <v>159</v>
      </c>
      <c r="N10" s="39" t="s">
        <v>159</v>
      </c>
      <c r="O10" s="37"/>
    </row>
    <row r="11" spans="1:15" ht="17" thickBot="1">
      <c r="A11" s="28" t="s">
        <v>165</v>
      </c>
      <c r="B11" s="40" t="s">
        <v>159</v>
      </c>
      <c r="C11" s="40" t="s">
        <v>159</v>
      </c>
      <c r="D11" s="40" t="s">
        <v>159</v>
      </c>
      <c r="E11" s="40" t="s">
        <v>159</v>
      </c>
      <c r="F11" s="40" t="s">
        <v>159</v>
      </c>
      <c r="G11" s="40" t="s">
        <v>159</v>
      </c>
      <c r="H11" s="41" t="s">
        <v>161</v>
      </c>
      <c r="I11" s="42" t="s">
        <v>161</v>
      </c>
      <c r="J11" s="42" t="s">
        <v>161</v>
      </c>
      <c r="K11" s="42" t="s">
        <v>161</v>
      </c>
      <c r="L11" s="42" t="s">
        <v>161</v>
      </c>
      <c r="M11" s="42" t="s">
        <v>161</v>
      </c>
      <c r="N11" s="42" t="s">
        <v>161</v>
      </c>
      <c r="O11" s="40" t="s">
        <v>159</v>
      </c>
    </row>
  </sheetData>
  <mergeCells count="1">
    <mergeCell ref="A1:O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E83EF-01E0-AD46-AADE-171AA35D7C10}">
  <dimension ref="A1:I19"/>
  <sheetViews>
    <sheetView zoomScale="165" workbookViewId="0">
      <selection activeCell="A2" sqref="A2"/>
    </sheetView>
  </sheetViews>
  <sheetFormatPr baseColWidth="10" defaultRowHeight="16"/>
  <cols>
    <col min="1" max="1" width="55.83203125" bestFit="1" customWidth="1"/>
    <col min="2" max="2" width="45.6640625" bestFit="1" customWidth="1"/>
    <col min="3" max="3" width="14.33203125" customWidth="1"/>
    <col min="4" max="4" width="38.1640625" bestFit="1" customWidth="1"/>
  </cols>
  <sheetData>
    <row r="1" spans="1:9">
      <c r="A1" s="65" t="s">
        <v>320</v>
      </c>
    </row>
    <row r="2" spans="1:9">
      <c r="A2" s="61" t="s">
        <v>301</v>
      </c>
      <c r="B2" s="61" t="s">
        <v>251</v>
      </c>
      <c r="C2" s="61" t="s">
        <v>252</v>
      </c>
      <c r="D2" s="61" t="s">
        <v>253</v>
      </c>
    </row>
    <row r="3" spans="1:9">
      <c r="A3" s="57" t="s">
        <v>254</v>
      </c>
      <c r="B3" s="57" t="s">
        <v>255</v>
      </c>
      <c r="C3" s="56" t="s">
        <v>256</v>
      </c>
      <c r="D3" s="58" t="s">
        <v>308</v>
      </c>
    </row>
    <row r="4" spans="1:9">
      <c r="A4" s="57" t="s">
        <v>257</v>
      </c>
      <c r="B4" s="57" t="s">
        <v>258</v>
      </c>
      <c r="C4" s="56" t="s">
        <v>259</v>
      </c>
      <c r="D4" s="58" t="s">
        <v>309</v>
      </c>
    </row>
    <row r="5" spans="1:9">
      <c r="A5" s="59" t="s">
        <v>260</v>
      </c>
      <c r="B5" s="57" t="s">
        <v>261</v>
      </c>
      <c r="C5" s="56" t="s">
        <v>262</v>
      </c>
      <c r="D5" s="58" t="s">
        <v>310</v>
      </c>
    </row>
    <row r="6" spans="1:9" ht="19">
      <c r="A6" s="57" t="s">
        <v>263</v>
      </c>
      <c r="B6" s="57" t="s">
        <v>302</v>
      </c>
      <c r="C6" s="56" t="s">
        <v>264</v>
      </c>
      <c r="D6" s="58" t="s">
        <v>265</v>
      </c>
      <c r="E6" s="53"/>
    </row>
    <row r="7" spans="1:9">
      <c r="A7" s="59" t="s">
        <v>266</v>
      </c>
      <c r="B7" s="59" t="s">
        <v>307</v>
      </c>
      <c r="C7" s="60" t="s">
        <v>267</v>
      </c>
      <c r="D7" s="58" t="s">
        <v>194</v>
      </c>
    </row>
    <row r="8" spans="1:9">
      <c r="A8" s="57" t="s">
        <v>268</v>
      </c>
      <c r="B8" s="57" t="s">
        <v>269</v>
      </c>
      <c r="C8" s="56" t="s">
        <v>270</v>
      </c>
      <c r="D8" s="58" t="s">
        <v>311</v>
      </c>
    </row>
    <row r="9" spans="1:9">
      <c r="A9" s="57" t="s">
        <v>271</v>
      </c>
      <c r="B9" s="57" t="s">
        <v>303</v>
      </c>
      <c r="C9" s="56" t="s">
        <v>272</v>
      </c>
      <c r="D9" s="58" t="s">
        <v>273</v>
      </c>
    </row>
    <row r="10" spans="1:9">
      <c r="A10" s="59" t="s">
        <v>274</v>
      </c>
      <c r="B10" s="59" t="s">
        <v>275</v>
      </c>
      <c r="C10" s="60" t="s">
        <v>276</v>
      </c>
      <c r="D10" s="58" t="s">
        <v>277</v>
      </c>
      <c r="I10" s="54"/>
    </row>
    <row r="11" spans="1:9">
      <c r="A11" s="57" t="s">
        <v>278</v>
      </c>
      <c r="B11" s="57" t="s">
        <v>304</v>
      </c>
      <c r="C11" s="56" t="s">
        <v>279</v>
      </c>
      <c r="D11" s="58" t="s">
        <v>312</v>
      </c>
      <c r="I11" s="54"/>
    </row>
    <row r="12" spans="1:9">
      <c r="A12" s="57" t="s">
        <v>281</v>
      </c>
      <c r="B12" s="57" t="s">
        <v>304</v>
      </c>
      <c r="C12" s="56" t="s">
        <v>282</v>
      </c>
      <c r="D12" s="58" t="s">
        <v>280</v>
      </c>
      <c r="I12" s="54"/>
    </row>
    <row r="13" spans="1:9">
      <c r="A13" s="57" t="s">
        <v>283</v>
      </c>
      <c r="B13" s="57" t="s">
        <v>304</v>
      </c>
      <c r="C13" s="56" t="s">
        <v>284</v>
      </c>
      <c r="D13" s="58" t="s">
        <v>313</v>
      </c>
      <c r="I13" s="54"/>
    </row>
    <row r="14" spans="1:9">
      <c r="A14" s="59" t="s">
        <v>285</v>
      </c>
      <c r="B14" s="59" t="s">
        <v>286</v>
      </c>
      <c r="C14" s="56" t="s">
        <v>287</v>
      </c>
      <c r="D14" s="58" t="s">
        <v>288</v>
      </c>
      <c r="I14" s="54"/>
    </row>
    <row r="15" spans="1:9" ht="19">
      <c r="A15" s="57" t="s">
        <v>289</v>
      </c>
      <c r="B15" s="57" t="s">
        <v>305</v>
      </c>
      <c r="C15" s="56" t="s">
        <v>290</v>
      </c>
      <c r="D15" s="58" t="s">
        <v>314</v>
      </c>
      <c r="I15" s="55"/>
    </row>
    <row r="16" spans="1:9" ht="19">
      <c r="A16" s="57" t="s">
        <v>291</v>
      </c>
      <c r="B16" s="57" t="s">
        <v>292</v>
      </c>
      <c r="C16" s="56" t="s">
        <v>293</v>
      </c>
      <c r="D16" s="58" t="s">
        <v>294</v>
      </c>
      <c r="H16" s="54"/>
      <c r="I16" s="55"/>
    </row>
    <row r="17" spans="1:4">
      <c r="A17" s="57" t="s">
        <v>295</v>
      </c>
      <c r="B17" s="57" t="s">
        <v>306</v>
      </c>
      <c r="C17" s="56" t="s">
        <v>296</v>
      </c>
      <c r="D17" s="58" t="s">
        <v>315</v>
      </c>
    </row>
    <row r="18" spans="1:4">
      <c r="A18" s="62" t="s">
        <v>297</v>
      </c>
      <c r="B18" s="62" t="s">
        <v>298</v>
      </c>
      <c r="C18" s="63" t="s">
        <v>299</v>
      </c>
      <c r="D18" s="64" t="s">
        <v>300</v>
      </c>
    </row>
    <row r="19" spans="1:4">
      <c r="B19" s="48"/>
    </row>
  </sheetData>
  <conditionalFormatting sqref="C3:C18">
    <cfRule type="duplicateValues" dxfId="2" priority="4"/>
  </conditionalFormatting>
  <conditionalFormatting sqref="D3:I18">
    <cfRule type="duplicateValues" dxfId="1" priority="6"/>
  </conditionalFormatting>
  <conditionalFormatting sqref="L17">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842B5-4DA6-B448-B385-9D3B26B39CFD}">
  <dimension ref="A1:L39"/>
  <sheetViews>
    <sheetView tabSelected="1" workbookViewId="0">
      <selection activeCell="F41" sqref="F41"/>
    </sheetView>
  </sheetViews>
  <sheetFormatPr baseColWidth="10" defaultRowHeight="16"/>
  <cols>
    <col min="1" max="1" width="46" bestFit="1" customWidth="1"/>
    <col min="2" max="2" width="33.83203125" bestFit="1" customWidth="1"/>
    <col min="3" max="3" width="26.1640625" bestFit="1" customWidth="1"/>
    <col min="4" max="4" width="15.1640625" bestFit="1" customWidth="1"/>
    <col min="5" max="12" width="7.1640625" bestFit="1" customWidth="1"/>
  </cols>
  <sheetData>
    <row r="1" spans="1:12">
      <c r="A1" s="74" t="s">
        <v>321</v>
      </c>
      <c r="B1" s="74"/>
      <c r="C1" s="74"/>
      <c r="D1" s="74"/>
      <c r="E1" s="74"/>
      <c r="F1" s="74"/>
      <c r="G1" s="74"/>
      <c r="H1" s="74"/>
      <c r="I1" s="74"/>
      <c r="J1" s="74"/>
      <c r="K1" s="74"/>
      <c r="L1" s="74"/>
    </row>
    <row r="2" spans="1:12" ht="17" thickBot="1">
      <c r="A2" s="83"/>
      <c r="B2" s="83"/>
      <c r="C2" s="83"/>
      <c r="D2" s="83"/>
      <c r="E2" s="83"/>
      <c r="F2" s="83"/>
      <c r="G2" s="83"/>
      <c r="H2" s="83"/>
      <c r="I2" s="83"/>
      <c r="J2" s="83"/>
      <c r="K2" s="83"/>
      <c r="L2" s="83"/>
    </row>
    <row r="3" spans="1:12" ht="17" thickBot="1">
      <c r="A3" s="43" t="s">
        <v>236</v>
      </c>
      <c r="B3" s="82" t="s">
        <v>316</v>
      </c>
      <c r="C3" s="82"/>
      <c r="D3" s="43" t="s">
        <v>235</v>
      </c>
      <c r="E3" s="82" t="s">
        <v>250</v>
      </c>
      <c r="F3" s="82"/>
      <c r="G3" s="82"/>
      <c r="H3" s="82"/>
      <c r="I3" s="82"/>
      <c r="J3" s="82"/>
      <c r="K3" s="82"/>
      <c r="L3" s="82"/>
    </row>
    <row r="4" spans="1:12">
      <c r="A4" s="45"/>
      <c r="B4" s="45" t="s">
        <v>228</v>
      </c>
      <c r="C4" s="45"/>
      <c r="D4" s="45"/>
      <c r="E4" s="45"/>
      <c r="F4" s="45"/>
      <c r="G4" s="45"/>
      <c r="H4" s="45"/>
      <c r="I4" s="45"/>
      <c r="J4" s="45"/>
      <c r="K4" s="45"/>
      <c r="L4" s="45"/>
    </row>
    <row r="5" spans="1:12">
      <c r="A5" s="45" t="s">
        <v>167</v>
      </c>
      <c r="B5" s="45" t="s">
        <v>200</v>
      </c>
      <c r="C5" s="45"/>
      <c r="D5" s="45" t="s">
        <v>191</v>
      </c>
      <c r="E5" s="49" t="s">
        <v>168</v>
      </c>
      <c r="F5" s="49" t="s">
        <v>169</v>
      </c>
      <c r="G5" s="49" t="s">
        <v>170</v>
      </c>
      <c r="H5" s="49" t="s">
        <v>171</v>
      </c>
      <c r="I5" s="49" t="s">
        <v>171</v>
      </c>
      <c r="J5" s="49"/>
      <c r="K5" s="49"/>
      <c r="L5" s="49"/>
    </row>
    <row r="6" spans="1:12">
      <c r="A6" s="45" t="s">
        <v>173</v>
      </c>
      <c r="B6" s="45" t="s">
        <v>200</v>
      </c>
      <c r="C6" s="45"/>
      <c r="D6" s="45" t="s">
        <v>177</v>
      </c>
      <c r="E6" s="49" t="s">
        <v>174</v>
      </c>
      <c r="F6" s="49" t="s">
        <v>175</v>
      </c>
      <c r="G6" s="49" t="s">
        <v>176</v>
      </c>
      <c r="H6" s="49"/>
      <c r="I6" s="49"/>
      <c r="J6" s="49"/>
      <c r="K6" s="49"/>
      <c r="L6" s="49"/>
    </row>
    <row r="7" spans="1:12">
      <c r="A7" s="45" t="s">
        <v>178</v>
      </c>
      <c r="B7" s="45" t="s">
        <v>200</v>
      </c>
      <c r="C7" s="45"/>
      <c r="D7" s="45" t="s">
        <v>191</v>
      </c>
      <c r="E7" s="49" t="s">
        <v>179</v>
      </c>
      <c r="F7" s="49"/>
      <c r="G7" s="49"/>
      <c r="H7" s="49"/>
      <c r="I7" s="49"/>
      <c r="J7" s="49"/>
      <c r="K7" s="49"/>
      <c r="L7" s="49"/>
    </row>
    <row r="8" spans="1:12">
      <c r="A8" s="66"/>
      <c r="B8" s="66" t="s">
        <v>230</v>
      </c>
      <c r="C8" s="66" t="s">
        <v>231</v>
      </c>
      <c r="D8" s="66"/>
      <c r="E8" s="52"/>
      <c r="F8" s="52"/>
      <c r="G8" s="52"/>
      <c r="H8" s="52"/>
      <c r="I8" s="52"/>
      <c r="J8" s="52"/>
      <c r="K8" s="52"/>
      <c r="L8" s="52"/>
    </row>
    <row r="9" spans="1:12">
      <c r="A9" s="66" t="s">
        <v>233</v>
      </c>
      <c r="B9" s="66" t="s">
        <v>200</v>
      </c>
      <c r="C9" s="66" t="s">
        <v>200</v>
      </c>
      <c r="D9" s="66" t="s">
        <v>191</v>
      </c>
      <c r="E9" s="52" t="s">
        <v>180</v>
      </c>
      <c r="F9" s="52" t="s">
        <v>181</v>
      </c>
      <c r="G9" s="52" t="s">
        <v>182</v>
      </c>
      <c r="H9" s="52"/>
      <c r="I9" s="52"/>
      <c r="J9" s="52"/>
      <c r="K9" s="52"/>
      <c r="L9" s="52"/>
    </row>
    <row r="10" spans="1:12">
      <c r="A10" s="66" t="s">
        <v>234</v>
      </c>
      <c r="B10" s="66" t="s">
        <v>200</v>
      </c>
      <c r="C10" s="66" t="s">
        <v>200</v>
      </c>
      <c r="D10" s="67" t="s">
        <v>177</v>
      </c>
      <c r="E10" s="52" t="s">
        <v>183</v>
      </c>
      <c r="F10" s="52" t="s">
        <v>184</v>
      </c>
      <c r="G10" s="52"/>
      <c r="H10" s="52"/>
      <c r="I10" s="52"/>
      <c r="J10" s="52"/>
      <c r="K10" s="52"/>
      <c r="L10" s="52"/>
    </row>
    <row r="11" spans="1:12">
      <c r="A11" s="66" t="s">
        <v>187</v>
      </c>
      <c r="B11" s="66" t="s">
        <v>200</v>
      </c>
      <c r="C11" s="66" t="s">
        <v>201</v>
      </c>
      <c r="D11" s="66" t="s">
        <v>172</v>
      </c>
      <c r="E11" s="52" t="s">
        <v>185</v>
      </c>
      <c r="F11" s="52" t="s">
        <v>186</v>
      </c>
      <c r="G11" s="52"/>
      <c r="H11" s="52"/>
      <c r="I11" s="52"/>
      <c r="J11" s="52"/>
      <c r="K11" s="52"/>
      <c r="L11" s="52"/>
    </row>
    <row r="12" spans="1:12">
      <c r="A12" s="66" t="s">
        <v>188</v>
      </c>
      <c r="B12" s="66" t="s">
        <v>200</v>
      </c>
      <c r="C12" s="66" t="s">
        <v>200</v>
      </c>
      <c r="D12" s="66" t="s">
        <v>247</v>
      </c>
      <c r="E12" s="52" t="s">
        <v>189</v>
      </c>
      <c r="F12" s="52" t="s">
        <v>190</v>
      </c>
      <c r="G12" s="52" t="s">
        <v>192</v>
      </c>
      <c r="H12" s="52" t="s">
        <v>193</v>
      </c>
      <c r="I12" s="52" t="s">
        <v>194</v>
      </c>
      <c r="J12" s="52" t="s">
        <v>195</v>
      </c>
      <c r="K12" s="52" t="s">
        <v>196</v>
      </c>
      <c r="L12" s="52" t="s">
        <v>197</v>
      </c>
    </row>
    <row r="13" spans="1:12">
      <c r="A13" s="66" t="s">
        <v>198</v>
      </c>
      <c r="B13" s="66" t="s">
        <v>200</v>
      </c>
      <c r="C13" s="66" t="s">
        <v>200</v>
      </c>
      <c r="D13" s="66" t="s">
        <v>191</v>
      </c>
      <c r="E13" s="52" t="s">
        <v>180</v>
      </c>
      <c r="F13" s="52" t="s">
        <v>199</v>
      </c>
      <c r="G13" s="52"/>
      <c r="H13" s="52"/>
      <c r="I13" s="52"/>
      <c r="J13" s="52"/>
      <c r="K13" s="52"/>
      <c r="L13" s="52"/>
    </row>
    <row r="14" spans="1:12" ht="17">
      <c r="A14" s="66" t="s">
        <v>229</v>
      </c>
      <c r="B14" s="66" t="s">
        <v>200</v>
      </c>
      <c r="C14" s="66" t="s">
        <v>200</v>
      </c>
      <c r="D14" s="66" t="s">
        <v>191</v>
      </c>
      <c r="E14" s="68" t="s">
        <v>195</v>
      </c>
      <c r="F14" s="52"/>
      <c r="G14" s="52"/>
      <c r="H14" s="52"/>
      <c r="I14" s="52"/>
      <c r="J14" s="52"/>
      <c r="K14" s="52"/>
      <c r="L14" s="52"/>
    </row>
    <row r="15" spans="1:12">
      <c r="A15" s="66"/>
      <c r="B15" s="66"/>
      <c r="C15" s="66"/>
      <c r="D15" s="66"/>
      <c r="E15" s="52"/>
      <c r="F15" s="52"/>
      <c r="G15" s="52"/>
      <c r="H15" s="52"/>
      <c r="I15" s="52"/>
      <c r="J15" s="52"/>
      <c r="K15" s="52"/>
      <c r="L15" s="52"/>
    </row>
    <row r="16" spans="1:12">
      <c r="A16" s="47"/>
      <c r="B16" s="47" t="s">
        <v>246</v>
      </c>
      <c r="C16" s="47" t="s">
        <v>227</v>
      </c>
      <c r="D16" s="47"/>
      <c r="E16" s="50"/>
      <c r="F16" s="50"/>
      <c r="G16" s="50"/>
      <c r="H16" s="50"/>
      <c r="I16" s="50"/>
      <c r="J16" s="50"/>
      <c r="K16" s="50"/>
      <c r="L16" s="50"/>
    </row>
    <row r="17" spans="1:12">
      <c r="A17" s="47"/>
      <c r="B17" s="47" t="s">
        <v>200</v>
      </c>
      <c r="C17" s="47" t="s">
        <v>201</v>
      </c>
      <c r="D17" s="47" t="s">
        <v>172</v>
      </c>
      <c r="E17" s="50" t="s">
        <v>202</v>
      </c>
      <c r="F17" s="50" t="s">
        <v>203</v>
      </c>
      <c r="G17" s="50"/>
      <c r="H17" s="50"/>
      <c r="I17" s="50"/>
      <c r="J17" s="50"/>
      <c r="K17" s="50"/>
      <c r="L17" s="50"/>
    </row>
    <row r="18" spans="1:12">
      <c r="A18" s="47"/>
      <c r="B18" s="47" t="s">
        <v>200</v>
      </c>
      <c r="C18" s="47" t="s">
        <v>201</v>
      </c>
      <c r="D18" s="47" t="s">
        <v>172</v>
      </c>
      <c r="E18" s="50" t="s">
        <v>204</v>
      </c>
      <c r="F18" s="50" t="s">
        <v>205</v>
      </c>
      <c r="G18" s="50"/>
      <c r="H18" s="50"/>
      <c r="I18" s="50"/>
      <c r="J18" s="50"/>
      <c r="K18" s="50"/>
      <c r="L18" s="50"/>
    </row>
    <row r="19" spans="1:12">
      <c r="A19" s="47"/>
      <c r="B19" s="47" t="s">
        <v>200</v>
      </c>
      <c r="C19" s="47" t="s">
        <v>201</v>
      </c>
      <c r="D19" s="47" t="s">
        <v>172</v>
      </c>
      <c r="E19" s="50" t="s">
        <v>206</v>
      </c>
      <c r="F19" s="50" t="s">
        <v>207</v>
      </c>
      <c r="G19" s="50"/>
      <c r="H19" s="50"/>
      <c r="I19" s="50"/>
      <c r="J19" s="50"/>
      <c r="K19" s="50"/>
      <c r="L19" s="50"/>
    </row>
    <row r="20" spans="1:12">
      <c r="A20" s="47"/>
      <c r="B20" s="47" t="s">
        <v>200</v>
      </c>
      <c r="C20" s="47" t="s">
        <v>200</v>
      </c>
      <c r="D20" s="47" t="s">
        <v>172</v>
      </c>
      <c r="E20" s="50" t="s">
        <v>207</v>
      </c>
      <c r="F20" s="50" t="s">
        <v>208</v>
      </c>
      <c r="G20" s="50"/>
      <c r="H20" s="50"/>
      <c r="I20" s="50"/>
      <c r="J20" s="50"/>
      <c r="K20" s="50"/>
      <c r="L20" s="50"/>
    </row>
    <row r="21" spans="1:12">
      <c r="A21" s="47"/>
      <c r="B21" s="47" t="s">
        <v>200</v>
      </c>
      <c r="C21" s="47" t="s">
        <v>200</v>
      </c>
      <c r="D21" s="47" t="s">
        <v>172</v>
      </c>
      <c r="E21" s="50" t="s">
        <v>209</v>
      </c>
      <c r="F21" s="50" t="s">
        <v>205</v>
      </c>
      <c r="G21" s="50"/>
      <c r="H21" s="50"/>
      <c r="I21" s="50"/>
      <c r="J21" s="50"/>
      <c r="K21" s="50"/>
      <c r="L21" s="50"/>
    </row>
    <row r="22" spans="1:12">
      <c r="A22" s="47"/>
      <c r="B22" s="47" t="s">
        <v>200</v>
      </c>
      <c r="C22" s="47" t="s">
        <v>200</v>
      </c>
      <c r="D22" s="47" t="s">
        <v>172</v>
      </c>
      <c r="E22" s="50" t="s">
        <v>210</v>
      </c>
      <c r="F22" s="50" t="s">
        <v>211</v>
      </c>
      <c r="G22" s="50" t="s">
        <v>212</v>
      </c>
      <c r="H22" s="50"/>
      <c r="I22" s="50"/>
      <c r="J22" s="50"/>
      <c r="K22" s="50"/>
      <c r="L22" s="50"/>
    </row>
    <row r="23" spans="1:12">
      <c r="A23" s="47"/>
      <c r="B23" s="47" t="s">
        <v>200</v>
      </c>
      <c r="C23" s="47" t="s">
        <v>200</v>
      </c>
      <c r="D23" s="47" t="s">
        <v>172</v>
      </c>
      <c r="E23" s="50" t="s">
        <v>213</v>
      </c>
      <c r="F23" s="50"/>
      <c r="G23" s="50"/>
      <c r="H23" s="50"/>
      <c r="I23" s="50"/>
      <c r="J23" s="50"/>
      <c r="K23" s="50"/>
      <c r="L23" s="50"/>
    </row>
    <row r="24" spans="1:12">
      <c r="A24" s="47"/>
      <c r="B24" s="47" t="s">
        <v>201</v>
      </c>
      <c r="C24" s="47" t="s">
        <v>200</v>
      </c>
      <c r="D24" s="47" t="s">
        <v>172</v>
      </c>
      <c r="E24" s="50" t="s">
        <v>214</v>
      </c>
      <c r="F24" s="50"/>
      <c r="G24" s="50"/>
      <c r="H24" s="50"/>
      <c r="I24" s="50"/>
      <c r="J24" s="50"/>
      <c r="K24" s="50"/>
      <c r="L24" s="50"/>
    </row>
    <row r="25" spans="1:12">
      <c r="A25" s="46"/>
      <c r="B25" s="46" t="s">
        <v>232</v>
      </c>
      <c r="C25" s="46"/>
      <c r="D25" s="46"/>
      <c r="E25" s="51"/>
      <c r="F25" s="51"/>
      <c r="G25" s="51"/>
      <c r="H25" s="51"/>
      <c r="I25" s="51"/>
      <c r="J25" s="51"/>
      <c r="K25" s="51"/>
      <c r="L25" s="51"/>
    </row>
    <row r="26" spans="1:12">
      <c r="A26" s="46"/>
      <c r="B26" s="69" t="s">
        <v>200</v>
      </c>
      <c r="C26" s="46"/>
      <c r="D26" s="46" t="s">
        <v>172</v>
      </c>
      <c r="E26" s="51" t="s">
        <v>215</v>
      </c>
      <c r="F26" s="51" t="s">
        <v>216</v>
      </c>
      <c r="G26" s="51"/>
      <c r="H26" s="51"/>
      <c r="I26" s="51"/>
      <c r="J26" s="51"/>
      <c r="K26" s="51"/>
      <c r="L26" s="51"/>
    </row>
    <row r="27" spans="1:12">
      <c r="A27" s="46"/>
      <c r="B27" s="69" t="s">
        <v>200</v>
      </c>
      <c r="C27" s="46"/>
      <c r="D27" s="46" t="s">
        <v>172</v>
      </c>
      <c r="E27" s="51" t="s">
        <v>217</v>
      </c>
      <c r="F27" s="51" t="s">
        <v>218</v>
      </c>
      <c r="G27" s="51" t="s">
        <v>219</v>
      </c>
      <c r="H27" s="51" t="s">
        <v>220</v>
      </c>
      <c r="I27" s="51" t="s">
        <v>221</v>
      </c>
      <c r="J27" s="51"/>
      <c r="K27" s="51"/>
      <c r="L27" s="51"/>
    </row>
    <row r="28" spans="1:12">
      <c r="A28" s="46"/>
      <c r="B28" s="69" t="s">
        <v>200</v>
      </c>
      <c r="C28" s="46"/>
      <c r="D28" s="46" t="s">
        <v>172</v>
      </c>
      <c r="E28" s="51" t="s">
        <v>222</v>
      </c>
      <c r="F28" s="51"/>
      <c r="G28" s="51"/>
      <c r="H28" s="51"/>
      <c r="I28" s="51"/>
      <c r="J28" s="51"/>
      <c r="K28" s="51"/>
      <c r="L28" s="51"/>
    </row>
    <row r="29" spans="1:12">
      <c r="A29" s="46"/>
      <c r="B29" s="69" t="s">
        <v>200</v>
      </c>
      <c r="C29" s="46"/>
      <c r="D29" s="46" t="s">
        <v>172</v>
      </c>
      <c r="E29" s="51" t="s">
        <v>223</v>
      </c>
      <c r="F29" s="51"/>
      <c r="G29" s="51"/>
      <c r="H29" s="51"/>
      <c r="I29" s="51"/>
      <c r="J29" s="51"/>
      <c r="K29" s="51"/>
      <c r="L29" s="51"/>
    </row>
    <row r="30" spans="1:12">
      <c r="A30" s="46"/>
      <c r="B30" s="69" t="s">
        <v>200</v>
      </c>
      <c r="C30" s="46"/>
      <c r="D30" s="46" t="s">
        <v>172</v>
      </c>
      <c r="E30" s="51" t="s">
        <v>224</v>
      </c>
      <c r="F30" s="51"/>
      <c r="G30" s="51"/>
      <c r="H30" s="51"/>
      <c r="I30" s="51"/>
      <c r="J30" s="51"/>
      <c r="K30" s="51"/>
      <c r="L30" s="51"/>
    </row>
    <row r="31" spans="1:12">
      <c r="A31" s="46"/>
      <c r="B31" s="69" t="s">
        <v>200</v>
      </c>
      <c r="C31" s="46"/>
      <c r="D31" s="46" t="s">
        <v>172</v>
      </c>
      <c r="E31" s="51" t="s">
        <v>225</v>
      </c>
      <c r="F31" s="51"/>
      <c r="G31" s="51"/>
      <c r="H31" s="51"/>
      <c r="I31" s="51"/>
      <c r="J31" s="51"/>
      <c r="K31" s="51"/>
      <c r="L31" s="51"/>
    </row>
    <row r="32" spans="1:12">
      <c r="A32" s="46"/>
      <c r="B32" s="69" t="s">
        <v>200</v>
      </c>
      <c r="C32" s="46"/>
      <c r="D32" s="46" t="s">
        <v>172</v>
      </c>
      <c r="E32" s="51" t="s">
        <v>226</v>
      </c>
      <c r="F32" s="51"/>
      <c r="G32" s="51"/>
      <c r="H32" s="51"/>
      <c r="I32" s="51"/>
      <c r="J32" s="51"/>
      <c r="K32" s="51"/>
      <c r="L32" s="51"/>
    </row>
    <row r="33" spans="1:12">
      <c r="A33" s="70"/>
      <c r="B33" s="70" t="s">
        <v>245</v>
      </c>
      <c r="C33" s="70"/>
      <c r="D33" s="70"/>
      <c r="E33" s="70"/>
      <c r="F33" s="70"/>
      <c r="G33" s="70"/>
      <c r="H33" s="70"/>
      <c r="I33" s="70"/>
      <c r="J33" s="70"/>
      <c r="K33" s="70"/>
      <c r="L33" s="70"/>
    </row>
    <row r="34" spans="1:12">
      <c r="A34" s="70" t="s">
        <v>248</v>
      </c>
      <c r="B34" s="70" t="s">
        <v>200</v>
      </c>
      <c r="C34" s="70"/>
      <c r="D34" s="70" t="s">
        <v>172</v>
      </c>
      <c r="E34" s="70" t="s">
        <v>242</v>
      </c>
      <c r="F34" s="71" t="s">
        <v>243</v>
      </c>
      <c r="G34" s="71" t="s">
        <v>237</v>
      </c>
      <c r="H34" s="70"/>
      <c r="I34" s="70"/>
      <c r="J34" s="70"/>
      <c r="K34" s="70"/>
      <c r="L34" s="70"/>
    </row>
    <row r="35" spans="1:12" ht="17" thickBot="1">
      <c r="A35" s="72" t="s">
        <v>249</v>
      </c>
      <c r="B35" s="72" t="s">
        <v>200</v>
      </c>
      <c r="C35" s="72"/>
      <c r="D35" s="72" t="s">
        <v>244</v>
      </c>
      <c r="E35" s="73" t="s">
        <v>238</v>
      </c>
      <c r="F35" s="72" t="s">
        <v>239</v>
      </c>
      <c r="G35" s="72" t="s">
        <v>240</v>
      </c>
      <c r="H35" s="72" t="s">
        <v>241</v>
      </c>
      <c r="I35" s="73"/>
      <c r="J35" s="73"/>
      <c r="K35" s="73"/>
      <c r="L35" s="72"/>
    </row>
    <row r="36" spans="1:12">
      <c r="F36" s="9"/>
      <c r="G36" s="9"/>
      <c r="H36" s="9"/>
      <c r="I36" s="9"/>
      <c r="J36" s="9"/>
      <c r="K36" s="9"/>
    </row>
    <row r="37" spans="1:12">
      <c r="E37" s="9"/>
      <c r="I37" s="9"/>
      <c r="J37" s="9"/>
      <c r="K37" s="9"/>
    </row>
    <row r="38" spans="1:12">
      <c r="E38" s="9"/>
      <c r="H38" s="9"/>
      <c r="I38" s="9"/>
      <c r="J38" s="9"/>
      <c r="K38" s="9"/>
    </row>
    <row r="39" spans="1:12">
      <c r="E39" s="9"/>
      <c r="G39" s="9"/>
      <c r="H39" s="9"/>
      <c r="I39" s="9"/>
      <c r="J39" s="9"/>
      <c r="K39" s="9"/>
    </row>
  </sheetData>
  <mergeCells count="3">
    <mergeCell ref="B3:C3"/>
    <mergeCell ref="E3:L3"/>
    <mergeCell ref="A1:L2"/>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Supplementary data 1</vt:lpstr>
      <vt:lpstr>Supplementary data 2</vt:lpstr>
      <vt:lpstr>Supplementary data 3</vt:lpstr>
      <vt:lpstr>Supplementary data 4</vt:lpstr>
      <vt:lpstr>Supplementary data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2023-01-19T18:33:16Z</dcterms:created>
  <dcterms:modified xsi:type="dcterms:W3CDTF">2023-07-14T16:11:45Z</dcterms:modified>
</cp:coreProperties>
</file>